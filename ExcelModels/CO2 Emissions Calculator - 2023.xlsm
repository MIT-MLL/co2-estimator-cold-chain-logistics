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ThisWorkbook" defaultThemeVersion="166925"/>
  <mc:AlternateContent xmlns:mc="http://schemas.openxmlformats.org/markup-compatibility/2006">
    <mc:Choice Requires="x15">
      <x15ac:absPath xmlns:x15ac="http://schemas.microsoft.com/office/spreadsheetml/2010/11/ac" url="/Users/jonas/GitHub/Carbon_Tool_Air_Freight/ExcelModels/"/>
    </mc:Choice>
  </mc:AlternateContent>
  <xr:revisionPtr revIDLastSave="0" documentId="13_ncr:1_{C5196484-3BD7-2C4B-8BD1-3C61B873B356}" xr6:coauthVersionLast="47" xr6:coauthVersionMax="47" xr10:uidLastSave="{00000000-0000-0000-0000-000000000000}"/>
  <bookViews>
    <workbookView xWindow="1720" yWindow="500" windowWidth="36680" windowHeight="21100" activeTab="1" xr2:uid="{00000000-000D-0000-FFFF-FFFF00000000}"/>
  </bookViews>
  <sheets>
    <sheet name="Description" sheetId="1" r:id="rId1"/>
    <sheet name="Emissions Calculator" sheetId="2" r:id="rId2"/>
    <sheet name="Container Data" sheetId="3" r:id="rId3"/>
    <sheet name="Shipment Data for Provisioning" sheetId="16" r:id="rId4"/>
    <sheet name="Location Data" sheetId="5" r:id="rId5"/>
    <sheet name="Preconditioning Data" sheetId="8" r:id="rId6"/>
    <sheet name="Script Output Emissions Data" sheetId="21" r:id="rId7"/>
    <sheet name="Filtered Input Data" sheetId="7" r:id="rId8"/>
    <sheet name="Script input transpo data" sheetId="12" r:id="rId9"/>
    <sheet name="Script input new shipment data" sheetId="11" r:id="rId10"/>
    <sheet name="Script input provisioning data" sheetId="18" r:id="rId11"/>
    <sheet name="Airplane models by type" sheetId="19" r:id="rId12"/>
  </sheets>
  <definedNames>
    <definedName name="_xlnm._FilterDatabase" localSheetId="11" hidden="1">'Airplane models by type'!$A$1:$B$50</definedName>
    <definedName name="_xlnm._FilterDatabase" localSheetId="2" hidden="1">'Container Data'!$B$5:$M$9</definedName>
    <definedName name="_xlnm._FilterDatabase" localSheetId="0" hidden="1">Description!$B$2:$G$5</definedName>
    <definedName name="_xlnm._FilterDatabase" localSheetId="4" hidden="1">'Location Data'!$B$5:$G$5</definedName>
    <definedName name="Airport">'Filtered Input Data'!$C$7:$C$146</definedName>
    <definedName name="Customer">'Filtered Input Data'!$E$7:$E$146</definedName>
    <definedName name="ExternalData_3" localSheetId="6" hidden="1">'Script Output Emissions Data'!$A$1:$D$2</definedName>
    <definedName name="ServiceCenter">'Filtered Input Data'!$D$7:$D$146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7" l="1" a="1"/>
  <c r="G7" i="7" s="1"/>
  <c r="C16" i="2"/>
  <c r="C42" i="2" s="1"/>
  <c r="M6" i="3" l="1"/>
  <c r="E7" i="8"/>
  <c r="E6" i="8"/>
  <c r="K6" i="3"/>
  <c r="I6" i="3"/>
  <c r="C46" i="2" a="1"/>
  <c r="C46" i="2" s="1"/>
  <c r="C41" i="2" l="1"/>
  <c r="C17" i="2"/>
  <c r="C18" i="2"/>
  <c r="E13" i="8"/>
  <c r="E12" i="8"/>
  <c r="E10" i="8"/>
  <c r="K9" i="3"/>
  <c r="M9" i="3" s="1"/>
  <c r="I9" i="3"/>
  <c r="E11" i="8"/>
  <c r="K8" i="3"/>
  <c r="M8" i="3" s="1"/>
  <c r="I8" i="3"/>
  <c r="G2" i="11" l="1"/>
  <c r="H6" i="7" a="1"/>
  <c r="H6" i="7" s="1"/>
  <c r="C45" i="2" a="1"/>
  <c r="C45" i="2" s="1"/>
  <c r="C44" i="2" a="1"/>
  <c r="C44" i="2" s="1"/>
  <c r="A3" i="18"/>
  <c r="B3" i="18"/>
  <c r="I3" i="18" s="1"/>
  <c r="C3" i="18"/>
  <c r="L3" i="18" s="1"/>
  <c r="D3" i="18"/>
  <c r="E3" i="18"/>
  <c r="F3" i="18"/>
  <c r="G3" i="18"/>
  <c r="H3" i="18"/>
  <c r="A4" i="18"/>
  <c r="B4" i="18"/>
  <c r="I4" i="18" s="1"/>
  <c r="C4" i="18"/>
  <c r="L4" i="18" s="1"/>
  <c r="D4" i="18"/>
  <c r="E4" i="18"/>
  <c r="F4" i="18"/>
  <c r="G4" i="18"/>
  <c r="H4" i="18"/>
  <c r="A5" i="18"/>
  <c r="B5" i="18"/>
  <c r="I5" i="18" s="1"/>
  <c r="C5" i="18"/>
  <c r="K5" i="18" s="1"/>
  <c r="D5" i="18"/>
  <c r="E5" i="18"/>
  <c r="F5" i="18"/>
  <c r="G5" i="18"/>
  <c r="H5" i="18"/>
  <c r="A6" i="18"/>
  <c r="B6" i="18"/>
  <c r="I6" i="18" s="1"/>
  <c r="C6" i="18"/>
  <c r="L6" i="18" s="1"/>
  <c r="D6" i="18"/>
  <c r="E6" i="18"/>
  <c r="F6" i="18"/>
  <c r="G6" i="18"/>
  <c r="H6" i="18"/>
  <c r="A7" i="18"/>
  <c r="B7" i="18"/>
  <c r="I7" i="18" s="1"/>
  <c r="C7" i="18"/>
  <c r="K7" i="18" s="1"/>
  <c r="D7" i="18"/>
  <c r="E7" i="18"/>
  <c r="F7" i="18"/>
  <c r="G7" i="18"/>
  <c r="H7" i="18"/>
  <c r="A8" i="18"/>
  <c r="B8" i="18"/>
  <c r="I8" i="18" s="1"/>
  <c r="C8" i="18"/>
  <c r="L8" i="18" s="1"/>
  <c r="D8" i="18"/>
  <c r="E8" i="18"/>
  <c r="F8" i="18"/>
  <c r="G8" i="18"/>
  <c r="H8" i="18"/>
  <c r="A9" i="18"/>
  <c r="B9" i="18"/>
  <c r="I9" i="18" s="1"/>
  <c r="C9" i="18"/>
  <c r="K9" i="18" s="1"/>
  <c r="D9" i="18"/>
  <c r="E9" i="18"/>
  <c r="F9" i="18"/>
  <c r="G9" i="18"/>
  <c r="H9" i="18"/>
  <c r="A10" i="18"/>
  <c r="B10" i="18"/>
  <c r="I10" i="18" s="1"/>
  <c r="C10" i="18"/>
  <c r="L10" i="18" s="1"/>
  <c r="D10" i="18"/>
  <c r="E10" i="18"/>
  <c r="F10" i="18"/>
  <c r="G10" i="18"/>
  <c r="H10" i="18"/>
  <c r="A11" i="18"/>
  <c r="B11" i="18"/>
  <c r="I11" i="18" s="1"/>
  <c r="C11" i="18"/>
  <c r="K11" i="18" s="1"/>
  <c r="D11" i="18"/>
  <c r="E11" i="18"/>
  <c r="F11" i="18"/>
  <c r="G11" i="18"/>
  <c r="H11" i="18"/>
  <c r="A12" i="18"/>
  <c r="B12" i="18"/>
  <c r="I12" i="18" s="1"/>
  <c r="C12" i="18"/>
  <c r="L12" i="18" s="1"/>
  <c r="D12" i="18"/>
  <c r="E12" i="18"/>
  <c r="F12" i="18"/>
  <c r="G12" i="18"/>
  <c r="H12" i="18"/>
  <c r="A13" i="18"/>
  <c r="B13" i="18"/>
  <c r="I13" i="18" s="1"/>
  <c r="C13" i="18"/>
  <c r="K13" i="18" s="1"/>
  <c r="D13" i="18"/>
  <c r="E13" i="18"/>
  <c r="F13" i="18"/>
  <c r="G13" i="18"/>
  <c r="H13" i="18"/>
  <c r="J13" i="18"/>
  <c r="L13" i="18"/>
  <c r="A14" i="18"/>
  <c r="B14" i="18"/>
  <c r="I14" i="18" s="1"/>
  <c r="C14" i="18"/>
  <c r="L14" i="18" s="1"/>
  <c r="D14" i="18"/>
  <c r="E14" i="18"/>
  <c r="F14" i="18"/>
  <c r="G14" i="18"/>
  <c r="H14" i="18"/>
  <c r="K14" i="18"/>
  <c r="A15" i="18"/>
  <c r="B15" i="18"/>
  <c r="I15" i="18" s="1"/>
  <c r="C15" i="18"/>
  <c r="D15" i="18"/>
  <c r="E15" i="18"/>
  <c r="F15" i="18"/>
  <c r="G15" i="18"/>
  <c r="H15" i="18"/>
  <c r="J15" i="18"/>
  <c r="K15" i="18"/>
  <c r="L15" i="18"/>
  <c r="A16" i="18"/>
  <c r="B16" i="18"/>
  <c r="C16" i="18"/>
  <c r="L16" i="18" s="1"/>
  <c r="D16" i="18"/>
  <c r="E16" i="18"/>
  <c r="F16" i="18"/>
  <c r="G16" i="18"/>
  <c r="H16" i="18"/>
  <c r="I16" i="18"/>
  <c r="J16" i="18"/>
  <c r="K16" i="18"/>
  <c r="A17" i="18"/>
  <c r="B17" i="18"/>
  <c r="I17" i="18" s="1"/>
  <c r="C17" i="18"/>
  <c r="D17" i="18"/>
  <c r="E17" i="18"/>
  <c r="F17" i="18"/>
  <c r="G17" i="18"/>
  <c r="H17" i="18"/>
  <c r="K17" i="18"/>
  <c r="L17" i="18"/>
  <c r="A18" i="18"/>
  <c r="B18" i="18"/>
  <c r="C18" i="18"/>
  <c r="L18" i="18" s="1"/>
  <c r="D18" i="18"/>
  <c r="E18" i="18"/>
  <c r="F18" i="18"/>
  <c r="G18" i="18"/>
  <c r="H18" i="18"/>
  <c r="I18" i="18"/>
  <c r="J18" i="18"/>
  <c r="K18" i="18"/>
  <c r="A19" i="18"/>
  <c r="B19" i="18"/>
  <c r="I19" i="18" s="1"/>
  <c r="C19" i="18"/>
  <c r="D19" i="18"/>
  <c r="E19" i="18"/>
  <c r="F19" i="18"/>
  <c r="G19" i="18"/>
  <c r="H19" i="18"/>
  <c r="J19" i="18"/>
  <c r="K19" i="18"/>
  <c r="L19" i="18"/>
  <c r="A20" i="18"/>
  <c r="B20" i="18"/>
  <c r="C20" i="18"/>
  <c r="L20" i="18" s="1"/>
  <c r="D20" i="18"/>
  <c r="E20" i="18"/>
  <c r="F20" i="18"/>
  <c r="G20" i="18"/>
  <c r="H20" i="18"/>
  <c r="I20" i="18"/>
  <c r="J20" i="18"/>
  <c r="K20" i="18"/>
  <c r="A21" i="18"/>
  <c r="B21" i="18"/>
  <c r="I21" i="18" s="1"/>
  <c r="C21" i="18"/>
  <c r="D21" i="18"/>
  <c r="E21" i="18"/>
  <c r="F21" i="18"/>
  <c r="G21" i="18"/>
  <c r="H21" i="18"/>
  <c r="J21" i="18"/>
  <c r="K21" i="18"/>
  <c r="L21" i="18"/>
  <c r="A22" i="18"/>
  <c r="B22" i="18"/>
  <c r="I22" i="18" s="1"/>
  <c r="C22" i="18"/>
  <c r="L22" i="18" s="1"/>
  <c r="D22" i="18"/>
  <c r="E22" i="18"/>
  <c r="F22" i="18"/>
  <c r="G22" i="18"/>
  <c r="H22" i="18"/>
  <c r="J22" i="18"/>
  <c r="K22" i="18"/>
  <c r="A23" i="18"/>
  <c r="B23" i="18"/>
  <c r="I23" i="18" s="1"/>
  <c r="C23" i="18"/>
  <c r="D23" i="18"/>
  <c r="E23" i="18"/>
  <c r="F23" i="18"/>
  <c r="G23" i="18"/>
  <c r="H23" i="18"/>
  <c r="J23" i="18"/>
  <c r="K23" i="18"/>
  <c r="L23" i="18"/>
  <c r="A24" i="18"/>
  <c r="B24" i="18"/>
  <c r="C24" i="18"/>
  <c r="L24" i="18" s="1"/>
  <c r="D24" i="18"/>
  <c r="E24" i="18"/>
  <c r="F24" i="18"/>
  <c r="G24" i="18"/>
  <c r="H24" i="18"/>
  <c r="I24" i="18"/>
  <c r="J24" i="18"/>
  <c r="K24" i="18"/>
  <c r="A25" i="18"/>
  <c r="B25" i="18"/>
  <c r="I25" i="18" s="1"/>
  <c r="C25" i="18"/>
  <c r="D25" i="18"/>
  <c r="E25" i="18"/>
  <c r="F25" i="18"/>
  <c r="G25" i="18"/>
  <c r="H25" i="18"/>
  <c r="J25" i="18"/>
  <c r="K25" i="18"/>
  <c r="L25" i="18"/>
  <c r="A26" i="18"/>
  <c r="B26" i="18"/>
  <c r="C26" i="18"/>
  <c r="L26" i="18" s="1"/>
  <c r="D26" i="18"/>
  <c r="E26" i="18"/>
  <c r="F26" i="18"/>
  <c r="G26" i="18"/>
  <c r="H26" i="18"/>
  <c r="I26" i="18"/>
  <c r="J26" i="18"/>
  <c r="K26" i="18"/>
  <c r="A27" i="18"/>
  <c r="B27" i="18"/>
  <c r="I27" i="18" s="1"/>
  <c r="C27" i="18"/>
  <c r="D27" i="18"/>
  <c r="E27" i="18"/>
  <c r="F27" i="18"/>
  <c r="G27" i="18"/>
  <c r="H27" i="18"/>
  <c r="J27" i="18"/>
  <c r="K27" i="18"/>
  <c r="L27" i="18"/>
  <c r="A28" i="18"/>
  <c r="B28" i="18"/>
  <c r="C28" i="18"/>
  <c r="L28" i="18" s="1"/>
  <c r="D28" i="18"/>
  <c r="E28" i="18"/>
  <c r="F28" i="18"/>
  <c r="G28" i="18"/>
  <c r="H28" i="18"/>
  <c r="I28" i="18"/>
  <c r="J28" i="18"/>
  <c r="K28" i="18"/>
  <c r="A29" i="18"/>
  <c r="B29" i="18"/>
  <c r="I29" i="18" s="1"/>
  <c r="C29" i="18"/>
  <c r="D29" i="18"/>
  <c r="E29" i="18"/>
  <c r="F29" i="18"/>
  <c r="G29" i="18"/>
  <c r="H29" i="18"/>
  <c r="J29" i="18"/>
  <c r="K29" i="18"/>
  <c r="L29" i="18"/>
  <c r="A30" i="18"/>
  <c r="B30" i="18"/>
  <c r="I30" i="18" s="1"/>
  <c r="C30" i="18"/>
  <c r="L30" i="18" s="1"/>
  <c r="D30" i="18"/>
  <c r="E30" i="18"/>
  <c r="F30" i="18"/>
  <c r="G30" i="18"/>
  <c r="H30" i="18"/>
  <c r="J30" i="18"/>
  <c r="K30" i="18"/>
  <c r="A31" i="18"/>
  <c r="B31" i="18"/>
  <c r="I31" i="18" s="1"/>
  <c r="C31" i="18"/>
  <c r="D31" i="18"/>
  <c r="E31" i="18"/>
  <c r="F31" i="18"/>
  <c r="G31" i="18"/>
  <c r="H31" i="18"/>
  <c r="J31" i="18"/>
  <c r="K31" i="18"/>
  <c r="L31" i="18"/>
  <c r="A32" i="18"/>
  <c r="B32" i="18"/>
  <c r="C32" i="18"/>
  <c r="L32" i="18" s="1"/>
  <c r="D32" i="18"/>
  <c r="E32" i="18"/>
  <c r="F32" i="18"/>
  <c r="G32" i="18"/>
  <c r="H32" i="18"/>
  <c r="I32" i="18"/>
  <c r="J32" i="18"/>
  <c r="K32" i="18"/>
  <c r="A33" i="18"/>
  <c r="B33" i="18"/>
  <c r="I33" i="18" s="1"/>
  <c r="C33" i="18"/>
  <c r="D33" i="18"/>
  <c r="E33" i="18"/>
  <c r="F33" i="18"/>
  <c r="G33" i="18"/>
  <c r="H33" i="18"/>
  <c r="J33" i="18"/>
  <c r="K33" i="18"/>
  <c r="L33" i="18"/>
  <c r="A34" i="18"/>
  <c r="B34" i="18"/>
  <c r="C34" i="18"/>
  <c r="L34" i="18" s="1"/>
  <c r="D34" i="18"/>
  <c r="E34" i="18"/>
  <c r="F34" i="18"/>
  <c r="G34" i="18"/>
  <c r="H34" i="18"/>
  <c r="I34" i="18"/>
  <c r="J34" i="18"/>
  <c r="K34" i="18"/>
  <c r="A35" i="18"/>
  <c r="B35" i="18"/>
  <c r="I35" i="18" s="1"/>
  <c r="C35" i="18"/>
  <c r="K35" i="18" s="1"/>
  <c r="D35" i="18"/>
  <c r="E35" i="18"/>
  <c r="F35" i="18"/>
  <c r="G35" i="18"/>
  <c r="H35" i="18"/>
  <c r="L35" i="18"/>
  <c r="A36" i="18"/>
  <c r="B36" i="18"/>
  <c r="C36" i="18"/>
  <c r="L36" i="18" s="1"/>
  <c r="D36" i="18"/>
  <c r="E36" i="18"/>
  <c r="F36" i="18"/>
  <c r="G36" i="18"/>
  <c r="H36" i="18"/>
  <c r="I36" i="18"/>
  <c r="J36" i="18"/>
  <c r="K36" i="18"/>
  <c r="A37" i="18"/>
  <c r="B37" i="18"/>
  <c r="I37" i="18" s="1"/>
  <c r="C37" i="18"/>
  <c r="D37" i="18"/>
  <c r="E37" i="18"/>
  <c r="F37" i="18"/>
  <c r="G37" i="18"/>
  <c r="H37" i="18"/>
  <c r="K37" i="18"/>
  <c r="L37" i="18"/>
  <c r="A38" i="18"/>
  <c r="B38" i="18"/>
  <c r="I38" i="18" s="1"/>
  <c r="C38" i="18"/>
  <c r="L38" i="18" s="1"/>
  <c r="D38" i="18"/>
  <c r="E38" i="18"/>
  <c r="F38" i="18"/>
  <c r="G38" i="18"/>
  <c r="H38" i="18"/>
  <c r="J38" i="18"/>
  <c r="K38" i="18"/>
  <c r="A39" i="18"/>
  <c r="B39" i="18"/>
  <c r="I39" i="18" s="1"/>
  <c r="C39" i="18"/>
  <c r="D39" i="18"/>
  <c r="E39" i="18"/>
  <c r="F39" i="18"/>
  <c r="G39" i="18"/>
  <c r="H39" i="18"/>
  <c r="K39" i="18"/>
  <c r="L39" i="18"/>
  <c r="A40" i="18"/>
  <c r="B40" i="18"/>
  <c r="C40" i="18"/>
  <c r="L40" i="18" s="1"/>
  <c r="D40" i="18"/>
  <c r="E40" i="18"/>
  <c r="F40" i="18"/>
  <c r="G40" i="18"/>
  <c r="H40" i="18"/>
  <c r="I40" i="18"/>
  <c r="J40" i="18"/>
  <c r="K40" i="18"/>
  <c r="A41" i="18"/>
  <c r="B41" i="18"/>
  <c r="I41" i="18" s="1"/>
  <c r="C41" i="18"/>
  <c r="D41" i="18"/>
  <c r="E41" i="18"/>
  <c r="F41" i="18"/>
  <c r="G41" i="18"/>
  <c r="H41" i="18"/>
  <c r="K41" i="18"/>
  <c r="L41" i="18"/>
  <c r="A42" i="18"/>
  <c r="B42" i="18"/>
  <c r="C42" i="18"/>
  <c r="L42" i="18" s="1"/>
  <c r="D42" i="18"/>
  <c r="E42" i="18"/>
  <c r="F42" i="18"/>
  <c r="G42" i="18"/>
  <c r="H42" i="18"/>
  <c r="I42" i="18"/>
  <c r="J42" i="18"/>
  <c r="K42" i="18"/>
  <c r="A43" i="18"/>
  <c r="B43" i="18"/>
  <c r="I43" i="18" s="1"/>
  <c r="C43" i="18"/>
  <c r="K43" i="18" s="1"/>
  <c r="D43" i="18"/>
  <c r="E43" i="18"/>
  <c r="F43" i="18"/>
  <c r="G43" i="18"/>
  <c r="H43" i="18"/>
  <c r="L43" i="18"/>
  <c r="A44" i="18"/>
  <c r="B44" i="18"/>
  <c r="C44" i="18"/>
  <c r="L44" i="18" s="1"/>
  <c r="D44" i="18"/>
  <c r="E44" i="18"/>
  <c r="F44" i="18"/>
  <c r="G44" i="18"/>
  <c r="H44" i="18"/>
  <c r="I44" i="18"/>
  <c r="J44" i="18"/>
  <c r="K44" i="18"/>
  <c r="A45" i="18"/>
  <c r="B45" i="18"/>
  <c r="I45" i="18" s="1"/>
  <c r="C45" i="18"/>
  <c r="D45" i="18"/>
  <c r="E45" i="18"/>
  <c r="F45" i="18"/>
  <c r="G45" i="18"/>
  <c r="H45" i="18"/>
  <c r="K45" i="18"/>
  <c r="L45" i="18"/>
  <c r="A46" i="18"/>
  <c r="B46" i="18"/>
  <c r="I46" i="18" s="1"/>
  <c r="C46" i="18"/>
  <c r="L46" i="18" s="1"/>
  <c r="D46" i="18"/>
  <c r="E46" i="18"/>
  <c r="F46" i="18"/>
  <c r="G46" i="18"/>
  <c r="H46" i="18"/>
  <c r="J46" i="18"/>
  <c r="K46" i="18"/>
  <c r="A47" i="18"/>
  <c r="B47" i="18"/>
  <c r="I47" i="18" s="1"/>
  <c r="C47" i="18"/>
  <c r="D47" i="18"/>
  <c r="E47" i="18"/>
  <c r="F47" i="18"/>
  <c r="G47" i="18"/>
  <c r="H47" i="18"/>
  <c r="K47" i="18"/>
  <c r="L47" i="18"/>
  <c r="A48" i="18"/>
  <c r="B48" i="18"/>
  <c r="C48" i="18"/>
  <c r="L48" i="18" s="1"/>
  <c r="D48" i="18"/>
  <c r="E48" i="18"/>
  <c r="F48" i="18"/>
  <c r="G48" i="18"/>
  <c r="H48" i="18"/>
  <c r="I48" i="18"/>
  <c r="J48" i="18"/>
  <c r="K48" i="18"/>
  <c r="A49" i="18"/>
  <c r="B49" i="18"/>
  <c r="I49" i="18" s="1"/>
  <c r="C49" i="18"/>
  <c r="D49" i="18"/>
  <c r="E49" i="18"/>
  <c r="F49" i="18"/>
  <c r="G49" i="18"/>
  <c r="H49" i="18"/>
  <c r="K49" i="18"/>
  <c r="L49" i="18"/>
  <c r="A50" i="18"/>
  <c r="B50" i="18"/>
  <c r="C50" i="18"/>
  <c r="L50" i="18" s="1"/>
  <c r="D50" i="18"/>
  <c r="E50" i="18"/>
  <c r="F50" i="18"/>
  <c r="G50" i="18"/>
  <c r="H50" i="18"/>
  <c r="I50" i="18"/>
  <c r="J50" i="18"/>
  <c r="K50" i="18"/>
  <c r="A51" i="18"/>
  <c r="B51" i="18"/>
  <c r="I51" i="18" s="1"/>
  <c r="C51" i="18"/>
  <c r="K51" i="18" s="1"/>
  <c r="D51" i="18"/>
  <c r="E51" i="18"/>
  <c r="F51" i="18"/>
  <c r="G51" i="18"/>
  <c r="H51" i="18"/>
  <c r="L51" i="18"/>
  <c r="A52" i="18"/>
  <c r="B52" i="18"/>
  <c r="C52" i="18"/>
  <c r="L52" i="18" s="1"/>
  <c r="D52" i="18"/>
  <c r="E52" i="18"/>
  <c r="F52" i="18"/>
  <c r="G52" i="18"/>
  <c r="H52" i="18"/>
  <c r="I52" i="18"/>
  <c r="J52" i="18"/>
  <c r="K52" i="18"/>
  <c r="A53" i="18"/>
  <c r="B53" i="18"/>
  <c r="I53" i="18" s="1"/>
  <c r="C53" i="18"/>
  <c r="D53" i="18"/>
  <c r="E53" i="18"/>
  <c r="F53" i="18"/>
  <c r="G53" i="18"/>
  <c r="H53" i="18"/>
  <c r="K53" i="18"/>
  <c r="L53" i="18"/>
  <c r="A54" i="18"/>
  <c r="B54" i="18"/>
  <c r="I54" i="18" s="1"/>
  <c r="C54" i="18"/>
  <c r="L54" i="18" s="1"/>
  <c r="D54" i="18"/>
  <c r="E54" i="18"/>
  <c r="F54" i="18"/>
  <c r="G54" i="18"/>
  <c r="H54" i="18"/>
  <c r="J54" i="18"/>
  <c r="K54" i="18"/>
  <c r="A55" i="18"/>
  <c r="B55" i="18"/>
  <c r="I55" i="18" s="1"/>
  <c r="C55" i="18"/>
  <c r="D55" i="18"/>
  <c r="E55" i="18"/>
  <c r="F55" i="18"/>
  <c r="G55" i="18"/>
  <c r="H55" i="18"/>
  <c r="K55" i="18"/>
  <c r="L55" i="18"/>
  <c r="A56" i="18"/>
  <c r="B56" i="18"/>
  <c r="C56" i="18"/>
  <c r="L56" i="18" s="1"/>
  <c r="D56" i="18"/>
  <c r="E56" i="18"/>
  <c r="F56" i="18"/>
  <c r="G56" i="18"/>
  <c r="H56" i="18"/>
  <c r="I56" i="18"/>
  <c r="J56" i="18"/>
  <c r="K56" i="18"/>
  <c r="A57" i="18"/>
  <c r="B57" i="18"/>
  <c r="I57" i="18" s="1"/>
  <c r="C57" i="18"/>
  <c r="D57" i="18"/>
  <c r="E57" i="18"/>
  <c r="F57" i="18"/>
  <c r="G57" i="18"/>
  <c r="H57" i="18"/>
  <c r="K57" i="18"/>
  <c r="L57" i="18"/>
  <c r="A58" i="18"/>
  <c r="B58" i="18"/>
  <c r="C58" i="18"/>
  <c r="L58" i="18" s="1"/>
  <c r="D58" i="18"/>
  <c r="E58" i="18"/>
  <c r="F58" i="18"/>
  <c r="G58" i="18"/>
  <c r="H58" i="18"/>
  <c r="I58" i="18"/>
  <c r="J58" i="18"/>
  <c r="K58" i="18"/>
  <c r="A59" i="18"/>
  <c r="B59" i="18"/>
  <c r="I59" i="18" s="1"/>
  <c r="C59" i="18"/>
  <c r="D59" i="18"/>
  <c r="E59" i="18"/>
  <c r="F59" i="18"/>
  <c r="G59" i="18"/>
  <c r="H59" i="18"/>
  <c r="J59" i="18"/>
  <c r="K59" i="18"/>
  <c r="L59" i="18"/>
  <c r="A60" i="18"/>
  <c r="B60" i="18"/>
  <c r="I60" i="18" s="1"/>
  <c r="C60" i="18"/>
  <c r="L60" i="18" s="1"/>
  <c r="D60" i="18"/>
  <c r="E60" i="18"/>
  <c r="F60" i="18"/>
  <c r="G60" i="18"/>
  <c r="H60" i="18"/>
  <c r="J60" i="18"/>
  <c r="K60" i="18"/>
  <c r="A61" i="18"/>
  <c r="B61" i="18"/>
  <c r="C61" i="18"/>
  <c r="D61" i="18"/>
  <c r="E61" i="18"/>
  <c r="F61" i="18"/>
  <c r="G61" i="18"/>
  <c r="H61" i="18"/>
  <c r="I61" i="18"/>
  <c r="J61" i="18"/>
  <c r="K61" i="18"/>
  <c r="L61" i="18"/>
  <c r="A62" i="18"/>
  <c r="B62" i="18"/>
  <c r="C62" i="18"/>
  <c r="L62" i="18" s="1"/>
  <c r="D62" i="18"/>
  <c r="E62" i="18"/>
  <c r="F62" i="18"/>
  <c r="G62" i="18"/>
  <c r="H62" i="18"/>
  <c r="I62" i="18"/>
  <c r="J62" i="18"/>
  <c r="K62" i="18"/>
  <c r="A63" i="18"/>
  <c r="B63" i="18"/>
  <c r="I63" i="18" s="1"/>
  <c r="C63" i="18"/>
  <c r="D63" i="18"/>
  <c r="E63" i="18"/>
  <c r="F63" i="18"/>
  <c r="G63" i="18"/>
  <c r="H63" i="18"/>
  <c r="J63" i="18"/>
  <c r="K63" i="18"/>
  <c r="L63" i="18"/>
  <c r="A64" i="18"/>
  <c r="B64" i="18"/>
  <c r="I64" i="18" s="1"/>
  <c r="C64" i="18"/>
  <c r="L64" i="18" s="1"/>
  <c r="D64" i="18"/>
  <c r="E64" i="18"/>
  <c r="F64" i="18"/>
  <c r="G64" i="18"/>
  <c r="H64" i="18"/>
  <c r="J64" i="18"/>
  <c r="K64" i="18"/>
  <c r="A65" i="18"/>
  <c r="B65" i="18"/>
  <c r="C65" i="18"/>
  <c r="L65" i="18" s="1"/>
  <c r="D65" i="18"/>
  <c r="E65" i="18"/>
  <c r="F65" i="18"/>
  <c r="G65" i="18"/>
  <c r="H65" i="18"/>
  <c r="I65" i="18"/>
  <c r="J65" i="18"/>
  <c r="K65" i="18"/>
  <c r="A66" i="18"/>
  <c r="B66" i="18"/>
  <c r="I66" i="18" s="1"/>
  <c r="C66" i="18"/>
  <c r="L66" i="18" s="1"/>
  <c r="D66" i="18"/>
  <c r="E66" i="18"/>
  <c r="F66" i="18"/>
  <c r="G66" i="18"/>
  <c r="H66" i="18"/>
  <c r="J66" i="18"/>
  <c r="K66" i="18"/>
  <c r="A67" i="18"/>
  <c r="B67" i="18"/>
  <c r="I67" i="18" s="1"/>
  <c r="C67" i="18"/>
  <c r="D67" i="18"/>
  <c r="E67" i="18"/>
  <c r="F67" i="18"/>
  <c r="G67" i="18"/>
  <c r="H67" i="18"/>
  <c r="J67" i="18"/>
  <c r="K67" i="18"/>
  <c r="L67" i="18"/>
  <c r="A68" i="18"/>
  <c r="B68" i="18"/>
  <c r="I68" i="18" s="1"/>
  <c r="C68" i="18"/>
  <c r="L68" i="18" s="1"/>
  <c r="D68" i="18"/>
  <c r="E68" i="18"/>
  <c r="F68" i="18"/>
  <c r="G68" i="18"/>
  <c r="H68" i="18"/>
  <c r="J68" i="18"/>
  <c r="K68" i="18"/>
  <c r="A69" i="18"/>
  <c r="B69" i="18"/>
  <c r="C69" i="18"/>
  <c r="L69" i="18" s="1"/>
  <c r="D69" i="18"/>
  <c r="E69" i="18"/>
  <c r="F69" i="18"/>
  <c r="G69" i="18"/>
  <c r="H69" i="18"/>
  <c r="I69" i="18"/>
  <c r="J69" i="18"/>
  <c r="K69" i="18"/>
  <c r="A70" i="18"/>
  <c r="B70" i="18"/>
  <c r="C70" i="18"/>
  <c r="L70" i="18" s="1"/>
  <c r="D70" i="18"/>
  <c r="E70" i="18"/>
  <c r="F70" i="18"/>
  <c r="G70" i="18"/>
  <c r="H70" i="18"/>
  <c r="I70" i="18"/>
  <c r="J70" i="18"/>
  <c r="K70" i="18"/>
  <c r="A71" i="18"/>
  <c r="B71" i="18"/>
  <c r="I71" i="18" s="1"/>
  <c r="C71" i="18"/>
  <c r="D71" i="18"/>
  <c r="E71" i="18"/>
  <c r="F71" i="18"/>
  <c r="G71" i="18"/>
  <c r="H71" i="18"/>
  <c r="J71" i="18"/>
  <c r="K71" i="18"/>
  <c r="L71" i="18"/>
  <c r="A72" i="18"/>
  <c r="B72" i="18"/>
  <c r="I72" i="18" s="1"/>
  <c r="C72" i="18"/>
  <c r="L72" i="18" s="1"/>
  <c r="D72" i="18"/>
  <c r="E72" i="18"/>
  <c r="F72" i="18"/>
  <c r="G72" i="18"/>
  <c r="H72" i="18"/>
  <c r="J72" i="18"/>
  <c r="K72" i="18"/>
  <c r="A73" i="18"/>
  <c r="B73" i="18"/>
  <c r="I73" i="18" s="1"/>
  <c r="C73" i="18"/>
  <c r="L73" i="18" s="1"/>
  <c r="D73" i="18"/>
  <c r="E73" i="18"/>
  <c r="F73" i="18"/>
  <c r="G73" i="18"/>
  <c r="H73" i="18"/>
  <c r="J73" i="18"/>
  <c r="K73" i="18"/>
  <c r="A74" i="18"/>
  <c r="B74" i="18"/>
  <c r="C74" i="18"/>
  <c r="L74" i="18" s="1"/>
  <c r="D74" i="18"/>
  <c r="E74" i="18"/>
  <c r="F74" i="18"/>
  <c r="G74" i="18"/>
  <c r="H74" i="18"/>
  <c r="I74" i="18"/>
  <c r="J74" i="18"/>
  <c r="K74" i="18"/>
  <c r="A75" i="18"/>
  <c r="B75" i="18"/>
  <c r="I75" i="18" s="1"/>
  <c r="C75" i="18"/>
  <c r="D75" i="18"/>
  <c r="E75" i="18"/>
  <c r="F75" i="18"/>
  <c r="G75" i="18"/>
  <c r="H75" i="18"/>
  <c r="J75" i="18"/>
  <c r="K75" i="18"/>
  <c r="L75" i="18"/>
  <c r="A76" i="18"/>
  <c r="B76" i="18"/>
  <c r="I76" i="18" s="1"/>
  <c r="C76" i="18"/>
  <c r="L76" i="18" s="1"/>
  <c r="D76" i="18"/>
  <c r="E76" i="18"/>
  <c r="F76" i="18"/>
  <c r="G76" i="18"/>
  <c r="H76" i="18"/>
  <c r="J76" i="18"/>
  <c r="K76" i="18"/>
  <c r="A77" i="18"/>
  <c r="B77" i="18"/>
  <c r="C77" i="18"/>
  <c r="D77" i="18"/>
  <c r="E77" i="18"/>
  <c r="F77" i="18"/>
  <c r="G77" i="18"/>
  <c r="H77" i="18"/>
  <c r="I77" i="18"/>
  <c r="J77" i="18"/>
  <c r="K77" i="18"/>
  <c r="L77" i="18"/>
  <c r="A78" i="18"/>
  <c r="B78" i="18"/>
  <c r="C78" i="18"/>
  <c r="L78" i="18" s="1"/>
  <c r="D78" i="18"/>
  <c r="E78" i="18"/>
  <c r="F78" i="18"/>
  <c r="G78" i="18"/>
  <c r="H78" i="18"/>
  <c r="I78" i="18"/>
  <c r="J78" i="18"/>
  <c r="K78" i="18"/>
  <c r="A79" i="18"/>
  <c r="B79" i="18"/>
  <c r="I79" i="18" s="1"/>
  <c r="C79" i="18"/>
  <c r="D79" i="18"/>
  <c r="E79" i="18"/>
  <c r="F79" i="18"/>
  <c r="G79" i="18"/>
  <c r="H79" i="18"/>
  <c r="J79" i="18"/>
  <c r="K79" i="18"/>
  <c r="L79" i="18"/>
  <c r="A80" i="18"/>
  <c r="B80" i="18"/>
  <c r="I80" i="18" s="1"/>
  <c r="C80" i="18"/>
  <c r="L80" i="18" s="1"/>
  <c r="D80" i="18"/>
  <c r="E80" i="18"/>
  <c r="F80" i="18"/>
  <c r="G80" i="18"/>
  <c r="H80" i="18"/>
  <c r="J80" i="18"/>
  <c r="K80" i="18"/>
  <c r="A81" i="18"/>
  <c r="B81" i="18"/>
  <c r="C81" i="18"/>
  <c r="L81" i="18" s="1"/>
  <c r="D81" i="18"/>
  <c r="E81" i="18"/>
  <c r="F81" i="18"/>
  <c r="G81" i="18"/>
  <c r="H81" i="18"/>
  <c r="I81" i="18"/>
  <c r="J81" i="18"/>
  <c r="K81" i="18"/>
  <c r="A82" i="18"/>
  <c r="B82" i="18"/>
  <c r="I82" i="18" s="1"/>
  <c r="C82" i="18"/>
  <c r="L82" i="18" s="1"/>
  <c r="D82" i="18"/>
  <c r="E82" i="18"/>
  <c r="F82" i="18"/>
  <c r="G82" i="18"/>
  <c r="H82" i="18"/>
  <c r="J82" i="18"/>
  <c r="K82" i="18"/>
  <c r="A83" i="18"/>
  <c r="B83" i="18"/>
  <c r="I83" i="18" s="1"/>
  <c r="C83" i="18"/>
  <c r="D83" i="18"/>
  <c r="E83" i="18"/>
  <c r="F83" i="18"/>
  <c r="G83" i="18"/>
  <c r="H83" i="18"/>
  <c r="J83" i="18"/>
  <c r="K83" i="18"/>
  <c r="L83" i="18"/>
  <c r="A84" i="18"/>
  <c r="B84" i="18"/>
  <c r="I84" i="18" s="1"/>
  <c r="C84" i="18"/>
  <c r="L84" i="18" s="1"/>
  <c r="D84" i="18"/>
  <c r="E84" i="18"/>
  <c r="F84" i="18"/>
  <c r="G84" i="18"/>
  <c r="H84" i="18"/>
  <c r="J84" i="18"/>
  <c r="K84" i="18"/>
  <c r="A85" i="18"/>
  <c r="B85" i="18"/>
  <c r="C85" i="18"/>
  <c r="L85" i="18" s="1"/>
  <c r="D85" i="18"/>
  <c r="E85" i="18"/>
  <c r="F85" i="18"/>
  <c r="G85" i="18"/>
  <c r="H85" i="18"/>
  <c r="I85" i="18"/>
  <c r="J85" i="18"/>
  <c r="K85" i="18"/>
  <c r="A86" i="18"/>
  <c r="B86" i="18"/>
  <c r="C86" i="18"/>
  <c r="L86" i="18" s="1"/>
  <c r="D86" i="18"/>
  <c r="E86" i="18"/>
  <c r="F86" i="18"/>
  <c r="G86" i="18"/>
  <c r="H86" i="18"/>
  <c r="I86" i="18"/>
  <c r="J86" i="18"/>
  <c r="K86" i="18"/>
  <c r="A87" i="18"/>
  <c r="B87" i="18"/>
  <c r="I87" i="18" s="1"/>
  <c r="C87" i="18"/>
  <c r="D87" i="18"/>
  <c r="E87" i="18"/>
  <c r="F87" i="18"/>
  <c r="G87" i="18"/>
  <c r="H87" i="18"/>
  <c r="J87" i="18"/>
  <c r="K87" i="18"/>
  <c r="L87" i="18"/>
  <c r="A88" i="18"/>
  <c r="B88" i="18"/>
  <c r="I88" i="18" s="1"/>
  <c r="C88" i="18"/>
  <c r="L88" i="18" s="1"/>
  <c r="D88" i="18"/>
  <c r="E88" i="18"/>
  <c r="F88" i="18"/>
  <c r="G88" i="18"/>
  <c r="H88" i="18"/>
  <c r="J88" i="18"/>
  <c r="K88" i="18"/>
  <c r="A89" i="18"/>
  <c r="B89" i="18"/>
  <c r="I89" i="18" s="1"/>
  <c r="C89" i="18"/>
  <c r="L89" i="18" s="1"/>
  <c r="D89" i="18"/>
  <c r="E89" i="18"/>
  <c r="F89" i="18"/>
  <c r="G89" i="18"/>
  <c r="H89" i="18"/>
  <c r="J89" i="18"/>
  <c r="K89" i="18"/>
  <c r="A90" i="18"/>
  <c r="B90" i="18"/>
  <c r="C90" i="18"/>
  <c r="L90" i="18" s="1"/>
  <c r="D90" i="18"/>
  <c r="E90" i="18"/>
  <c r="F90" i="18"/>
  <c r="G90" i="18"/>
  <c r="H90" i="18"/>
  <c r="I90" i="18"/>
  <c r="J90" i="18"/>
  <c r="K90" i="18"/>
  <c r="A91" i="18"/>
  <c r="B91" i="18"/>
  <c r="I91" i="18" s="1"/>
  <c r="C91" i="18"/>
  <c r="D91" i="18"/>
  <c r="E91" i="18"/>
  <c r="F91" i="18"/>
  <c r="G91" i="18"/>
  <c r="H91" i="18"/>
  <c r="J91" i="18"/>
  <c r="K91" i="18"/>
  <c r="L91" i="18"/>
  <c r="A92" i="18"/>
  <c r="B92" i="18"/>
  <c r="I92" i="18" s="1"/>
  <c r="C92" i="18"/>
  <c r="L92" i="18" s="1"/>
  <c r="D92" i="18"/>
  <c r="E92" i="18"/>
  <c r="F92" i="18"/>
  <c r="G92" i="18"/>
  <c r="H92" i="18"/>
  <c r="J92" i="18"/>
  <c r="K92" i="18"/>
  <c r="A93" i="18"/>
  <c r="B93" i="18"/>
  <c r="C93" i="18"/>
  <c r="D93" i="18"/>
  <c r="E93" i="18"/>
  <c r="F93" i="18"/>
  <c r="G93" i="18"/>
  <c r="H93" i="18"/>
  <c r="I93" i="18"/>
  <c r="J93" i="18"/>
  <c r="K93" i="18"/>
  <c r="L93" i="18"/>
  <c r="A94" i="18"/>
  <c r="B94" i="18"/>
  <c r="C94" i="18"/>
  <c r="L94" i="18" s="1"/>
  <c r="D94" i="18"/>
  <c r="E94" i="18"/>
  <c r="F94" i="18"/>
  <c r="G94" i="18"/>
  <c r="H94" i="18"/>
  <c r="I94" i="18"/>
  <c r="J94" i="18"/>
  <c r="K94" i="18"/>
  <c r="A95" i="18"/>
  <c r="B95" i="18"/>
  <c r="I95" i="18" s="1"/>
  <c r="C95" i="18"/>
  <c r="D95" i="18"/>
  <c r="E95" i="18"/>
  <c r="F95" i="18"/>
  <c r="G95" i="18"/>
  <c r="H95" i="18"/>
  <c r="J95" i="18"/>
  <c r="K95" i="18"/>
  <c r="L95" i="18"/>
  <c r="A96" i="18"/>
  <c r="B96" i="18"/>
  <c r="I96" i="18" s="1"/>
  <c r="C96" i="18"/>
  <c r="L96" i="18" s="1"/>
  <c r="D96" i="18"/>
  <c r="E96" i="18"/>
  <c r="F96" i="18"/>
  <c r="G96" i="18"/>
  <c r="H96" i="18"/>
  <c r="K96" i="18"/>
  <c r="A97" i="18"/>
  <c r="B97" i="18"/>
  <c r="C97" i="18"/>
  <c r="L97" i="18" s="1"/>
  <c r="D97" i="18"/>
  <c r="E97" i="18"/>
  <c r="F97" i="18"/>
  <c r="G97" i="18"/>
  <c r="H97" i="18"/>
  <c r="I97" i="18"/>
  <c r="J97" i="18"/>
  <c r="K97" i="18"/>
  <c r="A98" i="18"/>
  <c r="B98" i="18"/>
  <c r="I98" i="18" s="1"/>
  <c r="C98" i="18"/>
  <c r="L98" i="18" s="1"/>
  <c r="D98" i="18"/>
  <c r="E98" i="18"/>
  <c r="F98" i="18"/>
  <c r="G98" i="18"/>
  <c r="H98" i="18"/>
  <c r="J98" i="18"/>
  <c r="K98" i="18"/>
  <c r="A99" i="18"/>
  <c r="B99" i="18"/>
  <c r="I99" i="18" s="1"/>
  <c r="C99" i="18"/>
  <c r="D99" i="18"/>
  <c r="E99" i="18"/>
  <c r="F99" i="18"/>
  <c r="G99" i="18"/>
  <c r="H99" i="18"/>
  <c r="J99" i="18"/>
  <c r="K99" i="18"/>
  <c r="L99" i="18"/>
  <c r="A100" i="18"/>
  <c r="B100" i="18"/>
  <c r="I100" i="18" s="1"/>
  <c r="C100" i="18"/>
  <c r="L100" i="18" s="1"/>
  <c r="D100" i="18"/>
  <c r="E100" i="18"/>
  <c r="F100" i="18"/>
  <c r="G100" i="18"/>
  <c r="H100" i="18"/>
  <c r="J100" i="18"/>
  <c r="K100" i="18"/>
  <c r="A101" i="18"/>
  <c r="B101" i="18"/>
  <c r="C101" i="18"/>
  <c r="L101" i="18" s="1"/>
  <c r="D101" i="18"/>
  <c r="E101" i="18"/>
  <c r="F101" i="18"/>
  <c r="G101" i="18"/>
  <c r="H101" i="18"/>
  <c r="I101" i="18"/>
  <c r="J101" i="18"/>
  <c r="K101" i="18"/>
  <c r="A102" i="18"/>
  <c r="B102" i="18"/>
  <c r="C102" i="18"/>
  <c r="L102" i="18" s="1"/>
  <c r="D102" i="18"/>
  <c r="E102" i="18"/>
  <c r="F102" i="18"/>
  <c r="G102" i="18"/>
  <c r="H102" i="18"/>
  <c r="I102" i="18"/>
  <c r="J102" i="18"/>
  <c r="K102" i="18"/>
  <c r="A103" i="18"/>
  <c r="B103" i="18"/>
  <c r="I103" i="18" s="1"/>
  <c r="C103" i="18"/>
  <c r="D103" i="18"/>
  <c r="E103" i="18"/>
  <c r="F103" i="18"/>
  <c r="G103" i="18"/>
  <c r="H103" i="18"/>
  <c r="K103" i="18"/>
  <c r="L103" i="18"/>
  <c r="A104" i="18"/>
  <c r="B104" i="18"/>
  <c r="I104" i="18" s="1"/>
  <c r="C104" i="18"/>
  <c r="L104" i="18" s="1"/>
  <c r="D104" i="18"/>
  <c r="E104" i="18"/>
  <c r="F104" i="18"/>
  <c r="G104" i="18"/>
  <c r="H104" i="18"/>
  <c r="J104" i="18"/>
  <c r="K104" i="18"/>
  <c r="A105" i="18"/>
  <c r="B105" i="18"/>
  <c r="I105" i="18" s="1"/>
  <c r="C105" i="18"/>
  <c r="L105" i="18" s="1"/>
  <c r="D105" i="18"/>
  <c r="E105" i="18"/>
  <c r="F105" i="18"/>
  <c r="G105" i="18"/>
  <c r="H105" i="18"/>
  <c r="J105" i="18"/>
  <c r="K105" i="18"/>
  <c r="A106" i="18"/>
  <c r="B106" i="18"/>
  <c r="C106" i="18"/>
  <c r="L106" i="18" s="1"/>
  <c r="D106" i="18"/>
  <c r="E106" i="18"/>
  <c r="F106" i="18"/>
  <c r="G106" i="18"/>
  <c r="H106" i="18"/>
  <c r="I106" i="18"/>
  <c r="J106" i="18"/>
  <c r="K106" i="18"/>
  <c r="A107" i="18"/>
  <c r="B107" i="18"/>
  <c r="I107" i="18" s="1"/>
  <c r="C107" i="18"/>
  <c r="D107" i="18"/>
  <c r="E107" i="18"/>
  <c r="F107" i="18"/>
  <c r="G107" i="18"/>
  <c r="H107" i="18"/>
  <c r="J107" i="18"/>
  <c r="K107" i="18"/>
  <c r="L107" i="18"/>
  <c r="A108" i="18"/>
  <c r="B108" i="18"/>
  <c r="I108" i="18" s="1"/>
  <c r="C108" i="18"/>
  <c r="L108" i="18" s="1"/>
  <c r="D108" i="18"/>
  <c r="E108" i="18"/>
  <c r="F108" i="18"/>
  <c r="G108" i="18"/>
  <c r="H108" i="18"/>
  <c r="J108" i="18"/>
  <c r="K108" i="18"/>
  <c r="A109" i="18"/>
  <c r="B109" i="18"/>
  <c r="C109" i="18"/>
  <c r="D109" i="18"/>
  <c r="E109" i="18"/>
  <c r="F109" i="18"/>
  <c r="G109" i="18"/>
  <c r="H109" i="18"/>
  <c r="I109" i="18"/>
  <c r="J109" i="18"/>
  <c r="K109" i="18"/>
  <c r="L109" i="18"/>
  <c r="A110" i="18"/>
  <c r="B110" i="18"/>
  <c r="C110" i="18"/>
  <c r="L110" i="18" s="1"/>
  <c r="D110" i="18"/>
  <c r="E110" i="18"/>
  <c r="F110" i="18"/>
  <c r="G110" i="18"/>
  <c r="H110" i="18"/>
  <c r="I110" i="18"/>
  <c r="J110" i="18"/>
  <c r="K110" i="18"/>
  <c r="A111" i="18"/>
  <c r="B111" i="18"/>
  <c r="I111" i="18" s="1"/>
  <c r="C111" i="18"/>
  <c r="D111" i="18"/>
  <c r="E111" i="18"/>
  <c r="F111" i="18"/>
  <c r="G111" i="18"/>
  <c r="H111" i="18"/>
  <c r="J111" i="18"/>
  <c r="K111" i="18"/>
  <c r="L111" i="18"/>
  <c r="A112" i="18"/>
  <c r="B112" i="18"/>
  <c r="I112" i="18" s="1"/>
  <c r="C112" i="18"/>
  <c r="L112" i="18" s="1"/>
  <c r="D112" i="18"/>
  <c r="E112" i="18"/>
  <c r="F112" i="18"/>
  <c r="G112" i="18"/>
  <c r="H112" i="18"/>
  <c r="K112" i="18"/>
  <c r="A113" i="18"/>
  <c r="B113" i="18"/>
  <c r="C113" i="18"/>
  <c r="L113" i="18" s="1"/>
  <c r="D113" i="18"/>
  <c r="E113" i="18"/>
  <c r="F113" i="18"/>
  <c r="G113" i="18"/>
  <c r="H113" i="18"/>
  <c r="I113" i="18"/>
  <c r="J113" i="18"/>
  <c r="K113" i="18"/>
  <c r="A114" i="18"/>
  <c r="B114" i="18"/>
  <c r="I114" i="18" s="1"/>
  <c r="C114" i="18"/>
  <c r="L114" i="18" s="1"/>
  <c r="D114" i="18"/>
  <c r="E114" i="18"/>
  <c r="F114" i="18"/>
  <c r="G114" i="18"/>
  <c r="H114" i="18"/>
  <c r="K114" i="18"/>
  <c r="A115" i="18"/>
  <c r="B115" i="18"/>
  <c r="I115" i="18" s="1"/>
  <c r="C115" i="18"/>
  <c r="D115" i="18"/>
  <c r="E115" i="18"/>
  <c r="F115" i="18"/>
  <c r="G115" i="18"/>
  <c r="H115" i="18"/>
  <c r="K115" i="18"/>
  <c r="L115" i="18"/>
  <c r="A116" i="18"/>
  <c r="B116" i="18"/>
  <c r="I116" i="18" s="1"/>
  <c r="C116" i="18"/>
  <c r="L116" i="18" s="1"/>
  <c r="D116" i="18"/>
  <c r="E116" i="18"/>
  <c r="F116" i="18"/>
  <c r="G116" i="18"/>
  <c r="H116" i="18"/>
  <c r="J116" i="18"/>
  <c r="A117" i="18"/>
  <c r="B117" i="18"/>
  <c r="C117" i="18"/>
  <c r="L117" i="18" s="1"/>
  <c r="D117" i="18"/>
  <c r="E117" i="18"/>
  <c r="F117" i="18"/>
  <c r="G117" i="18"/>
  <c r="H117" i="18"/>
  <c r="I117" i="18"/>
  <c r="J117" i="18"/>
  <c r="K117" i="18"/>
  <c r="A118" i="18"/>
  <c r="B118" i="18"/>
  <c r="C118" i="18"/>
  <c r="L118" i="18" s="1"/>
  <c r="D118" i="18"/>
  <c r="E118" i="18"/>
  <c r="F118" i="18"/>
  <c r="G118" i="18"/>
  <c r="H118" i="18"/>
  <c r="I118" i="18"/>
  <c r="J118" i="18"/>
  <c r="K118" i="18"/>
  <c r="A119" i="18"/>
  <c r="B119" i="18"/>
  <c r="I119" i="18" s="1"/>
  <c r="C119" i="18"/>
  <c r="D119" i="18"/>
  <c r="E119" i="18"/>
  <c r="F119" i="18"/>
  <c r="G119" i="18"/>
  <c r="H119" i="18"/>
  <c r="J119" i="18"/>
  <c r="K119" i="18"/>
  <c r="L119" i="18"/>
  <c r="A120" i="18"/>
  <c r="B120" i="18"/>
  <c r="I120" i="18" s="1"/>
  <c r="C120" i="18"/>
  <c r="L120" i="18" s="1"/>
  <c r="D120" i="18"/>
  <c r="E120" i="18"/>
  <c r="F120" i="18"/>
  <c r="G120" i="18"/>
  <c r="H120" i="18"/>
  <c r="J120" i="18"/>
  <c r="K120" i="18"/>
  <c r="A121" i="18"/>
  <c r="B121" i="18"/>
  <c r="I121" i="18" s="1"/>
  <c r="C121" i="18"/>
  <c r="D121" i="18"/>
  <c r="E121" i="18"/>
  <c r="F121" i="18"/>
  <c r="G121" i="18"/>
  <c r="H121" i="18"/>
  <c r="K121" i="18"/>
  <c r="L121" i="18"/>
  <c r="A122" i="18"/>
  <c r="B122" i="18"/>
  <c r="C122" i="18"/>
  <c r="L122" i="18" s="1"/>
  <c r="D122" i="18"/>
  <c r="E122" i="18"/>
  <c r="F122" i="18"/>
  <c r="G122" i="18"/>
  <c r="H122" i="18"/>
  <c r="I122" i="18"/>
  <c r="J122" i="18"/>
  <c r="K122" i="18"/>
  <c r="A123" i="18"/>
  <c r="B123" i="18"/>
  <c r="I123" i="18" s="1"/>
  <c r="C123" i="18"/>
  <c r="K123" i="18" s="1"/>
  <c r="D123" i="18"/>
  <c r="E123" i="18"/>
  <c r="F123" i="18"/>
  <c r="G123" i="18"/>
  <c r="H123" i="18"/>
  <c r="J123" i="18"/>
  <c r="L123" i="18"/>
  <c r="A124" i="18"/>
  <c r="B124" i="18"/>
  <c r="C124" i="18"/>
  <c r="L124" i="18" s="1"/>
  <c r="D124" i="18"/>
  <c r="E124" i="18"/>
  <c r="F124" i="18"/>
  <c r="G124" i="18"/>
  <c r="H124" i="18"/>
  <c r="I124" i="18"/>
  <c r="J124" i="18"/>
  <c r="K124" i="18"/>
  <c r="A125" i="18"/>
  <c r="B125" i="18"/>
  <c r="C125" i="18"/>
  <c r="D125" i="18"/>
  <c r="E125" i="18"/>
  <c r="F125" i="18"/>
  <c r="G125" i="18"/>
  <c r="H125" i="18"/>
  <c r="I125" i="18"/>
  <c r="J125" i="18"/>
  <c r="K125" i="18"/>
  <c r="L125" i="18"/>
  <c r="A126" i="18"/>
  <c r="B126" i="18"/>
  <c r="I126" i="18" s="1"/>
  <c r="C126" i="18"/>
  <c r="L126" i="18" s="1"/>
  <c r="D126" i="18"/>
  <c r="E126" i="18"/>
  <c r="F126" i="18"/>
  <c r="G126" i="18"/>
  <c r="H126" i="18"/>
  <c r="J126" i="18"/>
  <c r="K126" i="18"/>
  <c r="A127" i="18"/>
  <c r="B127" i="18"/>
  <c r="I127" i="18" s="1"/>
  <c r="C127" i="18"/>
  <c r="D127" i="18"/>
  <c r="E127" i="18"/>
  <c r="F127" i="18"/>
  <c r="G127" i="18"/>
  <c r="H127" i="18"/>
  <c r="J127" i="18"/>
  <c r="K127" i="18"/>
  <c r="L127" i="18"/>
  <c r="A128" i="18"/>
  <c r="B128" i="18"/>
  <c r="C128" i="18"/>
  <c r="L128" i="18" s="1"/>
  <c r="D128" i="18"/>
  <c r="E128" i="18"/>
  <c r="F128" i="18"/>
  <c r="G128" i="18"/>
  <c r="H128" i="18"/>
  <c r="I128" i="18"/>
  <c r="J128" i="18"/>
  <c r="K128" i="18"/>
  <c r="A129" i="18"/>
  <c r="B129" i="18"/>
  <c r="C129" i="18"/>
  <c r="L129" i="18" s="1"/>
  <c r="D129" i="18"/>
  <c r="E129" i="18"/>
  <c r="F129" i="18"/>
  <c r="G129" i="18"/>
  <c r="H129" i="18"/>
  <c r="I129" i="18"/>
  <c r="J129" i="18"/>
  <c r="K129" i="18"/>
  <c r="A130" i="18"/>
  <c r="B130" i="18"/>
  <c r="I130" i="18" s="1"/>
  <c r="C130" i="18"/>
  <c r="L130" i="18" s="1"/>
  <c r="D130" i="18"/>
  <c r="E130" i="18"/>
  <c r="F130" i="18"/>
  <c r="G130" i="18"/>
  <c r="H130" i="18"/>
  <c r="J130" i="18"/>
  <c r="A131" i="18"/>
  <c r="B131" i="18"/>
  <c r="C131" i="18"/>
  <c r="D131" i="18"/>
  <c r="E131" i="18"/>
  <c r="F131" i="18"/>
  <c r="G131" i="18"/>
  <c r="H131" i="18"/>
  <c r="I131" i="18"/>
  <c r="J131" i="18"/>
  <c r="K131" i="18"/>
  <c r="L131" i="18"/>
  <c r="A132" i="18"/>
  <c r="B132" i="18"/>
  <c r="I132" i="18" s="1"/>
  <c r="C132" i="18"/>
  <c r="L132" i="18" s="1"/>
  <c r="D132" i="18"/>
  <c r="E132" i="18"/>
  <c r="F132" i="18"/>
  <c r="G132" i="18"/>
  <c r="H132" i="18"/>
  <c r="J132" i="18"/>
  <c r="A133" i="18"/>
  <c r="B133" i="18"/>
  <c r="C133" i="18"/>
  <c r="L133" i="18" s="1"/>
  <c r="D133" i="18"/>
  <c r="E133" i="18"/>
  <c r="F133" i="18"/>
  <c r="G133" i="18"/>
  <c r="H133" i="18"/>
  <c r="I133" i="18"/>
  <c r="J133" i="18"/>
  <c r="K133" i="18"/>
  <c r="A134" i="18"/>
  <c r="B134" i="18"/>
  <c r="C134" i="18"/>
  <c r="L134" i="18" s="1"/>
  <c r="D134" i="18"/>
  <c r="E134" i="18"/>
  <c r="F134" i="18"/>
  <c r="G134" i="18"/>
  <c r="H134" i="18"/>
  <c r="I134" i="18"/>
  <c r="J134" i="18"/>
  <c r="K134" i="18"/>
  <c r="A135" i="18"/>
  <c r="B135" i="18"/>
  <c r="I135" i="18" s="1"/>
  <c r="C135" i="18"/>
  <c r="L135" i="18" s="1"/>
  <c r="D135" i="18"/>
  <c r="E135" i="18"/>
  <c r="F135" i="18"/>
  <c r="G135" i="18"/>
  <c r="H135" i="18"/>
  <c r="J135" i="18"/>
  <c r="K135" i="18"/>
  <c r="A136" i="18"/>
  <c r="B136" i="18"/>
  <c r="I136" i="18" s="1"/>
  <c r="C136" i="18"/>
  <c r="L136" i="18" s="1"/>
  <c r="D136" i="18"/>
  <c r="E136" i="18"/>
  <c r="F136" i="18"/>
  <c r="G136" i="18"/>
  <c r="H136" i="18"/>
  <c r="J136" i="18"/>
  <c r="K136" i="18"/>
  <c r="A137" i="18"/>
  <c r="B137" i="18"/>
  <c r="I137" i="18" s="1"/>
  <c r="C137" i="18"/>
  <c r="D137" i="18"/>
  <c r="E137" i="18"/>
  <c r="F137" i="18"/>
  <c r="G137" i="18"/>
  <c r="H137" i="18"/>
  <c r="K137" i="18"/>
  <c r="L137" i="18"/>
  <c r="A138" i="18"/>
  <c r="B138" i="18"/>
  <c r="C138" i="18"/>
  <c r="L138" i="18" s="1"/>
  <c r="D138" i="18"/>
  <c r="E138" i="18"/>
  <c r="F138" i="18"/>
  <c r="G138" i="18"/>
  <c r="H138" i="18"/>
  <c r="I138" i="18"/>
  <c r="J138" i="18"/>
  <c r="K138" i="18"/>
  <c r="A139" i="18"/>
  <c r="B139" i="18"/>
  <c r="I139" i="18" s="1"/>
  <c r="C139" i="18"/>
  <c r="K139" i="18" s="1"/>
  <c r="D139" i="18"/>
  <c r="E139" i="18"/>
  <c r="F139" i="18"/>
  <c r="G139" i="18"/>
  <c r="H139" i="18"/>
  <c r="J139" i="18"/>
  <c r="L139" i="18"/>
  <c r="A140" i="18"/>
  <c r="B140" i="18"/>
  <c r="C140" i="18"/>
  <c r="L140" i="18" s="1"/>
  <c r="D140" i="18"/>
  <c r="E140" i="18"/>
  <c r="F140" i="18"/>
  <c r="G140" i="18"/>
  <c r="H140" i="18"/>
  <c r="I140" i="18"/>
  <c r="J140" i="18"/>
  <c r="K140" i="18"/>
  <c r="A141" i="18"/>
  <c r="B141" i="18"/>
  <c r="C141" i="18"/>
  <c r="D141" i="18"/>
  <c r="E141" i="18"/>
  <c r="F141" i="18"/>
  <c r="G141" i="18"/>
  <c r="H141" i="18"/>
  <c r="I141" i="18"/>
  <c r="J141" i="18"/>
  <c r="K141" i="18"/>
  <c r="L141" i="18"/>
  <c r="A142" i="18"/>
  <c r="B142" i="18"/>
  <c r="I142" i="18" s="1"/>
  <c r="C142" i="18"/>
  <c r="L142" i="18" s="1"/>
  <c r="D142" i="18"/>
  <c r="E142" i="18"/>
  <c r="F142" i="18"/>
  <c r="G142" i="18"/>
  <c r="H142" i="18"/>
  <c r="J142" i="18"/>
  <c r="K142" i="18"/>
  <c r="A143" i="18"/>
  <c r="B143" i="18"/>
  <c r="I143" i="18" s="1"/>
  <c r="C143" i="18"/>
  <c r="D143" i="18"/>
  <c r="E143" i="18"/>
  <c r="F143" i="18"/>
  <c r="G143" i="18"/>
  <c r="H143" i="18"/>
  <c r="J143" i="18"/>
  <c r="K143" i="18"/>
  <c r="L143" i="18"/>
  <c r="A144" i="18"/>
  <c r="B144" i="18"/>
  <c r="C144" i="18"/>
  <c r="L144" i="18" s="1"/>
  <c r="D144" i="18"/>
  <c r="E144" i="18"/>
  <c r="F144" i="18"/>
  <c r="G144" i="18"/>
  <c r="H144" i="18"/>
  <c r="I144" i="18"/>
  <c r="J144" i="18"/>
  <c r="K144" i="18"/>
  <c r="A145" i="18"/>
  <c r="B145" i="18"/>
  <c r="C145" i="18"/>
  <c r="L145" i="18" s="1"/>
  <c r="D145" i="18"/>
  <c r="E145" i="18"/>
  <c r="F145" i="18"/>
  <c r="G145" i="18"/>
  <c r="H145" i="18"/>
  <c r="I145" i="18"/>
  <c r="J145" i="18"/>
  <c r="K145" i="18"/>
  <c r="A146" i="18"/>
  <c r="B146" i="18"/>
  <c r="I146" i="18" s="1"/>
  <c r="C146" i="18"/>
  <c r="L146" i="18" s="1"/>
  <c r="D146" i="18"/>
  <c r="E146" i="18"/>
  <c r="F146" i="18"/>
  <c r="G146" i="18"/>
  <c r="H146" i="18"/>
  <c r="J146" i="18"/>
  <c r="A147" i="18"/>
  <c r="B147" i="18"/>
  <c r="C147" i="18"/>
  <c r="D147" i="18"/>
  <c r="E147" i="18"/>
  <c r="F147" i="18"/>
  <c r="G147" i="18"/>
  <c r="H147" i="18"/>
  <c r="I147" i="18"/>
  <c r="J147" i="18"/>
  <c r="K147" i="18"/>
  <c r="L147" i="18"/>
  <c r="A148" i="18"/>
  <c r="B148" i="18"/>
  <c r="I148" i="18" s="1"/>
  <c r="C148" i="18"/>
  <c r="L148" i="18" s="1"/>
  <c r="D148" i="18"/>
  <c r="E148" i="18"/>
  <c r="F148" i="18"/>
  <c r="G148" i="18"/>
  <c r="H148" i="18"/>
  <c r="J148" i="18"/>
  <c r="A149" i="18"/>
  <c r="B149" i="18"/>
  <c r="C149" i="18"/>
  <c r="L149" i="18" s="1"/>
  <c r="D149" i="18"/>
  <c r="E149" i="18"/>
  <c r="F149" i="18"/>
  <c r="G149" i="18"/>
  <c r="H149" i="18"/>
  <c r="I149" i="18"/>
  <c r="J149" i="18"/>
  <c r="K149" i="18"/>
  <c r="A150" i="18"/>
  <c r="B150" i="18"/>
  <c r="C150" i="18"/>
  <c r="L150" i="18" s="1"/>
  <c r="D150" i="18"/>
  <c r="E150" i="18"/>
  <c r="F150" i="18"/>
  <c r="G150" i="18"/>
  <c r="H150" i="18"/>
  <c r="I150" i="18"/>
  <c r="J150" i="18"/>
  <c r="K150" i="18"/>
  <c r="A151" i="18"/>
  <c r="B151" i="18"/>
  <c r="I151" i="18" s="1"/>
  <c r="C151" i="18"/>
  <c r="L151" i="18" s="1"/>
  <c r="D151" i="18"/>
  <c r="E151" i="18"/>
  <c r="F151" i="18"/>
  <c r="G151" i="18"/>
  <c r="H151" i="18"/>
  <c r="J151" i="18"/>
  <c r="K151" i="18"/>
  <c r="A152" i="18"/>
  <c r="B152" i="18"/>
  <c r="I152" i="18" s="1"/>
  <c r="C152" i="18"/>
  <c r="L152" i="18" s="1"/>
  <c r="D152" i="18"/>
  <c r="E152" i="18"/>
  <c r="F152" i="18"/>
  <c r="G152" i="18"/>
  <c r="H152" i="18"/>
  <c r="J152" i="18"/>
  <c r="K152" i="18"/>
  <c r="A153" i="18"/>
  <c r="B153" i="18"/>
  <c r="I153" i="18" s="1"/>
  <c r="C153" i="18"/>
  <c r="D153" i="18"/>
  <c r="E153" i="18"/>
  <c r="F153" i="18"/>
  <c r="G153" i="18"/>
  <c r="H153" i="18"/>
  <c r="K153" i="18"/>
  <c r="L153" i="18"/>
  <c r="A154" i="18"/>
  <c r="B154" i="18"/>
  <c r="C154" i="18"/>
  <c r="L154" i="18" s="1"/>
  <c r="D154" i="18"/>
  <c r="E154" i="18"/>
  <c r="F154" i="18"/>
  <c r="G154" i="18"/>
  <c r="H154" i="18"/>
  <c r="I154" i="18"/>
  <c r="J154" i="18"/>
  <c r="K154" i="18"/>
  <c r="A155" i="18"/>
  <c r="B155" i="18"/>
  <c r="I155" i="18" s="1"/>
  <c r="C155" i="18"/>
  <c r="K155" i="18" s="1"/>
  <c r="D155" i="18"/>
  <c r="E155" i="18"/>
  <c r="F155" i="18"/>
  <c r="G155" i="18"/>
  <c r="H155" i="18"/>
  <c r="J155" i="18"/>
  <c r="L155" i="18"/>
  <c r="A156" i="18"/>
  <c r="B156" i="18"/>
  <c r="C156" i="18"/>
  <c r="L156" i="18" s="1"/>
  <c r="D156" i="18"/>
  <c r="E156" i="18"/>
  <c r="F156" i="18"/>
  <c r="G156" i="18"/>
  <c r="H156" i="18"/>
  <c r="I156" i="18"/>
  <c r="J156" i="18"/>
  <c r="K156" i="18"/>
  <c r="A157" i="18"/>
  <c r="B157" i="18"/>
  <c r="C157" i="18"/>
  <c r="D157" i="18"/>
  <c r="E157" i="18"/>
  <c r="F157" i="18"/>
  <c r="G157" i="18"/>
  <c r="H157" i="18"/>
  <c r="I157" i="18"/>
  <c r="J157" i="18"/>
  <c r="K157" i="18"/>
  <c r="L157" i="18"/>
  <c r="A158" i="18"/>
  <c r="B158" i="18"/>
  <c r="I158" i="18" s="1"/>
  <c r="C158" i="18"/>
  <c r="L158" i="18" s="1"/>
  <c r="D158" i="18"/>
  <c r="E158" i="18"/>
  <c r="F158" i="18"/>
  <c r="G158" i="18"/>
  <c r="H158" i="18"/>
  <c r="J158" i="18"/>
  <c r="K158" i="18"/>
  <c r="A159" i="18"/>
  <c r="B159" i="18"/>
  <c r="I159" i="18" s="1"/>
  <c r="C159" i="18"/>
  <c r="D159" i="18"/>
  <c r="E159" i="18"/>
  <c r="F159" i="18"/>
  <c r="G159" i="18"/>
  <c r="H159" i="18"/>
  <c r="J159" i="18"/>
  <c r="K159" i="18"/>
  <c r="L159" i="18"/>
  <c r="A160" i="18"/>
  <c r="B160" i="18"/>
  <c r="C160" i="18"/>
  <c r="L160" i="18" s="1"/>
  <c r="D160" i="18"/>
  <c r="E160" i="18"/>
  <c r="F160" i="18"/>
  <c r="G160" i="18"/>
  <c r="H160" i="18"/>
  <c r="I160" i="18"/>
  <c r="J160" i="18"/>
  <c r="K160" i="18"/>
  <c r="A161" i="18"/>
  <c r="B161" i="18"/>
  <c r="C161" i="18"/>
  <c r="L161" i="18" s="1"/>
  <c r="D161" i="18"/>
  <c r="E161" i="18"/>
  <c r="F161" i="18"/>
  <c r="G161" i="18"/>
  <c r="H161" i="18"/>
  <c r="I161" i="18"/>
  <c r="J161" i="18"/>
  <c r="K161" i="18"/>
  <c r="A162" i="18"/>
  <c r="B162" i="18"/>
  <c r="I162" i="18" s="1"/>
  <c r="C162" i="18"/>
  <c r="L162" i="18" s="1"/>
  <c r="D162" i="18"/>
  <c r="E162" i="18"/>
  <c r="F162" i="18"/>
  <c r="G162" i="18"/>
  <c r="H162" i="18"/>
  <c r="J162" i="18"/>
  <c r="A163" i="18"/>
  <c r="B163" i="18"/>
  <c r="C163" i="18"/>
  <c r="D163" i="18"/>
  <c r="E163" i="18"/>
  <c r="F163" i="18"/>
  <c r="G163" i="18"/>
  <c r="H163" i="18"/>
  <c r="I163" i="18"/>
  <c r="J163" i="18"/>
  <c r="K163" i="18"/>
  <c r="L163" i="18"/>
  <c r="A164" i="18"/>
  <c r="B164" i="18"/>
  <c r="I164" i="18" s="1"/>
  <c r="C164" i="18"/>
  <c r="L164" i="18" s="1"/>
  <c r="D164" i="18"/>
  <c r="E164" i="18"/>
  <c r="F164" i="18"/>
  <c r="G164" i="18"/>
  <c r="H164" i="18"/>
  <c r="J164" i="18"/>
  <c r="A165" i="18"/>
  <c r="B165" i="18"/>
  <c r="C165" i="18"/>
  <c r="L165" i="18" s="1"/>
  <c r="D165" i="18"/>
  <c r="E165" i="18"/>
  <c r="F165" i="18"/>
  <c r="G165" i="18"/>
  <c r="H165" i="18"/>
  <c r="I165" i="18"/>
  <c r="J165" i="18"/>
  <c r="K165" i="18"/>
  <c r="A166" i="18"/>
  <c r="B166" i="18"/>
  <c r="C166" i="18"/>
  <c r="L166" i="18" s="1"/>
  <c r="D166" i="18"/>
  <c r="E166" i="18"/>
  <c r="F166" i="18"/>
  <c r="G166" i="18"/>
  <c r="H166" i="18"/>
  <c r="I166" i="18"/>
  <c r="J166" i="18"/>
  <c r="K166" i="18"/>
  <c r="A167" i="18"/>
  <c r="B167" i="18"/>
  <c r="C167" i="18"/>
  <c r="L167" i="18" s="1"/>
  <c r="D167" i="18"/>
  <c r="E167" i="18"/>
  <c r="F167" i="18"/>
  <c r="G167" i="18"/>
  <c r="H167" i="18"/>
  <c r="I167" i="18"/>
  <c r="J167" i="18"/>
  <c r="K167" i="18"/>
  <c r="A168" i="18"/>
  <c r="B168" i="18"/>
  <c r="I168" i="18" s="1"/>
  <c r="C168" i="18"/>
  <c r="L168" i="18" s="1"/>
  <c r="D168" i="18"/>
  <c r="E168" i="18"/>
  <c r="F168" i="18"/>
  <c r="G168" i="18"/>
  <c r="H168" i="18"/>
  <c r="J168" i="18"/>
  <c r="K168" i="18"/>
  <c r="A169" i="18"/>
  <c r="B169" i="18"/>
  <c r="I169" i="18" s="1"/>
  <c r="C169" i="18"/>
  <c r="D169" i="18"/>
  <c r="E169" i="18"/>
  <c r="F169" i="18"/>
  <c r="G169" i="18"/>
  <c r="H169" i="18"/>
  <c r="K169" i="18"/>
  <c r="L169" i="18"/>
  <c r="A170" i="18"/>
  <c r="B170" i="18"/>
  <c r="C170" i="18"/>
  <c r="L170" i="18" s="1"/>
  <c r="D170" i="18"/>
  <c r="E170" i="18"/>
  <c r="F170" i="18"/>
  <c r="G170" i="18"/>
  <c r="H170" i="18"/>
  <c r="I170" i="18"/>
  <c r="J170" i="18"/>
  <c r="K170" i="18"/>
  <c r="A171" i="18"/>
  <c r="B171" i="18"/>
  <c r="I171" i="18" s="1"/>
  <c r="C171" i="18"/>
  <c r="K171" i="18" s="1"/>
  <c r="D171" i="18"/>
  <c r="E171" i="18"/>
  <c r="F171" i="18"/>
  <c r="G171" i="18"/>
  <c r="H171" i="18"/>
  <c r="J171" i="18"/>
  <c r="L171" i="18"/>
  <c r="A172" i="18"/>
  <c r="B172" i="18"/>
  <c r="C172" i="18"/>
  <c r="L172" i="18" s="1"/>
  <c r="D172" i="18"/>
  <c r="E172" i="18"/>
  <c r="F172" i="18"/>
  <c r="G172" i="18"/>
  <c r="H172" i="18"/>
  <c r="I172" i="18"/>
  <c r="J172" i="18"/>
  <c r="K172" i="18"/>
  <c r="A173" i="18"/>
  <c r="B173" i="18"/>
  <c r="C173" i="18"/>
  <c r="D173" i="18"/>
  <c r="E173" i="18"/>
  <c r="F173" i="18"/>
  <c r="G173" i="18"/>
  <c r="H173" i="18"/>
  <c r="I173" i="18"/>
  <c r="J173" i="18"/>
  <c r="K173" i="18"/>
  <c r="L173" i="18"/>
  <c r="A174" i="18"/>
  <c r="B174" i="18"/>
  <c r="I174" i="18" s="1"/>
  <c r="C174" i="18"/>
  <c r="L174" i="18" s="1"/>
  <c r="D174" i="18"/>
  <c r="E174" i="18"/>
  <c r="F174" i="18"/>
  <c r="G174" i="18"/>
  <c r="H174" i="18"/>
  <c r="J174" i="18"/>
  <c r="K174" i="18"/>
  <c r="A175" i="18"/>
  <c r="B175" i="18"/>
  <c r="C175" i="18"/>
  <c r="D175" i="18"/>
  <c r="E175" i="18"/>
  <c r="F175" i="18"/>
  <c r="G175" i="18"/>
  <c r="H175" i="18"/>
  <c r="I175" i="18"/>
  <c r="J175" i="18"/>
  <c r="K175" i="18"/>
  <c r="L175" i="18"/>
  <c r="A176" i="18"/>
  <c r="B176" i="18"/>
  <c r="I176" i="18" s="1"/>
  <c r="C176" i="18"/>
  <c r="L176" i="18" s="1"/>
  <c r="D176" i="18"/>
  <c r="E176" i="18"/>
  <c r="F176" i="18"/>
  <c r="G176" i="18"/>
  <c r="H176" i="18"/>
  <c r="J176" i="18"/>
  <c r="K176" i="18"/>
  <c r="A177" i="18"/>
  <c r="B177" i="18"/>
  <c r="C177" i="18"/>
  <c r="D177" i="18"/>
  <c r="E177" i="18"/>
  <c r="F177" i="18"/>
  <c r="G177" i="18"/>
  <c r="H177" i="18"/>
  <c r="I177" i="18"/>
  <c r="J177" i="18"/>
  <c r="K177" i="18"/>
  <c r="L177" i="18"/>
  <c r="A178" i="18"/>
  <c r="B178" i="18"/>
  <c r="C178" i="18"/>
  <c r="L178" i="18" s="1"/>
  <c r="D178" i="18"/>
  <c r="E178" i="18"/>
  <c r="F178" i="18"/>
  <c r="G178" i="18"/>
  <c r="H178" i="18"/>
  <c r="I178" i="18"/>
  <c r="J178" i="18"/>
  <c r="K178" i="18"/>
  <c r="A179" i="18"/>
  <c r="B179" i="18"/>
  <c r="C179" i="18"/>
  <c r="D179" i="18"/>
  <c r="E179" i="18"/>
  <c r="F179" i="18"/>
  <c r="G179" i="18"/>
  <c r="H179" i="18"/>
  <c r="I179" i="18"/>
  <c r="J179" i="18"/>
  <c r="K179" i="18"/>
  <c r="L179" i="18"/>
  <c r="A180" i="18"/>
  <c r="B180" i="18"/>
  <c r="I180" i="18" s="1"/>
  <c r="C180" i="18"/>
  <c r="L180" i="18" s="1"/>
  <c r="D180" i="18"/>
  <c r="E180" i="18"/>
  <c r="F180" i="18"/>
  <c r="G180" i="18"/>
  <c r="H180" i="18"/>
  <c r="J180" i="18"/>
  <c r="K180" i="18"/>
  <c r="A181" i="18"/>
  <c r="B181" i="18"/>
  <c r="C181" i="18"/>
  <c r="D181" i="18"/>
  <c r="E181" i="18"/>
  <c r="F181" i="18"/>
  <c r="G181" i="18"/>
  <c r="H181" i="18"/>
  <c r="I181" i="18"/>
  <c r="J181" i="18"/>
  <c r="K181" i="18"/>
  <c r="L181" i="18"/>
  <c r="A182" i="18"/>
  <c r="B182" i="18"/>
  <c r="C182" i="18"/>
  <c r="L182" i="18" s="1"/>
  <c r="D182" i="18"/>
  <c r="E182" i="18"/>
  <c r="F182" i="18"/>
  <c r="G182" i="18"/>
  <c r="H182" i="18"/>
  <c r="I182" i="18"/>
  <c r="J182" i="18"/>
  <c r="K182" i="18"/>
  <c r="A183" i="18"/>
  <c r="B183" i="18"/>
  <c r="C183" i="18"/>
  <c r="D183" i="18"/>
  <c r="E183" i="18"/>
  <c r="F183" i="18"/>
  <c r="G183" i="18"/>
  <c r="H183" i="18"/>
  <c r="I183" i="18"/>
  <c r="J183" i="18"/>
  <c r="K183" i="18"/>
  <c r="L183" i="18"/>
  <c r="A184" i="18"/>
  <c r="B184" i="18"/>
  <c r="I184" i="18" s="1"/>
  <c r="C184" i="18"/>
  <c r="L184" i="18" s="1"/>
  <c r="D184" i="18"/>
  <c r="E184" i="18"/>
  <c r="F184" i="18"/>
  <c r="G184" i="18"/>
  <c r="H184" i="18"/>
  <c r="J184" i="18"/>
  <c r="K184" i="18"/>
  <c r="A185" i="18"/>
  <c r="B185" i="18"/>
  <c r="C185" i="18"/>
  <c r="D185" i="18"/>
  <c r="E185" i="18"/>
  <c r="F185" i="18"/>
  <c r="G185" i="18"/>
  <c r="H185" i="18"/>
  <c r="I185" i="18"/>
  <c r="J185" i="18"/>
  <c r="K185" i="18"/>
  <c r="L185" i="18"/>
  <c r="A186" i="18"/>
  <c r="B186" i="18"/>
  <c r="C186" i="18"/>
  <c r="L186" i="18" s="1"/>
  <c r="D186" i="18"/>
  <c r="E186" i="18"/>
  <c r="F186" i="18"/>
  <c r="G186" i="18"/>
  <c r="H186" i="18"/>
  <c r="I186" i="18"/>
  <c r="J186" i="18"/>
  <c r="K186" i="18"/>
  <c r="A187" i="18"/>
  <c r="B187" i="18"/>
  <c r="C187" i="18"/>
  <c r="D187" i="18"/>
  <c r="E187" i="18"/>
  <c r="F187" i="18"/>
  <c r="G187" i="18"/>
  <c r="H187" i="18"/>
  <c r="I187" i="18"/>
  <c r="J187" i="18"/>
  <c r="K187" i="18"/>
  <c r="L187" i="18"/>
  <c r="A188" i="18"/>
  <c r="B188" i="18"/>
  <c r="C188" i="18"/>
  <c r="L188" i="18" s="1"/>
  <c r="D188" i="18"/>
  <c r="E188" i="18"/>
  <c r="F188" i="18"/>
  <c r="G188" i="18"/>
  <c r="H188" i="18"/>
  <c r="I188" i="18"/>
  <c r="J188" i="18"/>
  <c r="K188" i="18"/>
  <c r="A189" i="18"/>
  <c r="B189" i="18"/>
  <c r="C189" i="18"/>
  <c r="D189" i="18"/>
  <c r="E189" i="18"/>
  <c r="F189" i="18"/>
  <c r="G189" i="18"/>
  <c r="H189" i="18"/>
  <c r="I189" i="18"/>
  <c r="J189" i="18"/>
  <c r="K189" i="18"/>
  <c r="L189" i="18"/>
  <c r="A190" i="18"/>
  <c r="B190" i="18"/>
  <c r="I190" i="18" s="1"/>
  <c r="C190" i="18"/>
  <c r="L190" i="18" s="1"/>
  <c r="D190" i="18"/>
  <c r="E190" i="18"/>
  <c r="F190" i="18"/>
  <c r="G190" i="18"/>
  <c r="H190" i="18"/>
  <c r="J190" i="18"/>
  <c r="K190" i="18"/>
  <c r="A191" i="18"/>
  <c r="B191" i="18"/>
  <c r="C191" i="18"/>
  <c r="D191" i="18"/>
  <c r="E191" i="18"/>
  <c r="F191" i="18"/>
  <c r="G191" i="18"/>
  <c r="H191" i="18"/>
  <c r="I191" i="18"/>
  <c r="J191" i="18"/>
  <c r="K191" i="18"/>
  <c r="L191" i="18"/>
  <c r="A192" i="18"/>
  <c r="B192" i="18"/>
  <c r="I192" i="18" s="1"/>
  <c r="C192" i="18"/>
  <c r="L192" i="18" s="1"/>
  <c r="D192" i="18"/>
  <c r="E192" i="18"/>
  <c r="F192" i="18"/>
  <c r="G192" i="18"/>
  <c r="H192" i="18"/>
  <c r="J192" i="18"/>
  <c r="K192" i="18"/>
  <c r="A193" i="18"/>
  <c r="B193" i="18"/>
  <c r="C193" i="18"/>
  <c r="D193" i="18"/>
  <c r="E193" i="18"/>
  <c r="F193" i="18"/>
  <c r="G193" i="18"/>
  <c r="H193" i="18"/>
  <c r="I193" i="18"/>
  <c r="J193" i="18"/>
  <c r="K193" i="18"/>
  <c r="L193" i="18"/>
  <c r="A194" i="18"/>
  <c r="B194" i="18"/>
  <c r="C194" i="18"/>
  <c r="L194" i="18" s="1"/>
  <c r="D194" i="18"/>
  <c r="E194" i="18"/>
  <c r="F194" i="18"/>
  <c r="G194" i="18"/>
  <c r="H194" i="18"/>
  <c r="I194" i="18"/>
  <c r="J194" i="18"/>
  <c r="K194" i="18"/>
  <c r="A195" i="18"/>
  <c r="B195" i="18"/>
  <c r="C195" i="18"/>
  <c r="D195" i="18"/>
  <c r="E195" i="18"/>
  <c r="F195" i="18"/>
  <c r="G195" i="18"/>
  <c r="H195" i="18"/>
  <c r="I195" i="18"/>
  <c r="J195" i="18"/>
  <c r="K195" i="18"/>
  <c r="L195" i="18"/>
  <c r="A196" i="18"/>
  <c r="B196" i="18"/>
  <c r="I196" i="18" s="1"/>
  <c r="C196" i="18"/>
  <c r="L196" i="18" s="1"/>
  <c r="D196" i="18"/>
  <c r="E196" i="18"/>
  <c r="F196" i="18"/>
  <c r="G196" i="18"/>
  <c r="H196" i="18"/>
  <c r="J196" i="18"/>
  <c r="K196" i="18"/>
  <c r="A197" i="18"/>
  <c r="B197" i="18"/>
  <c r="C197" i="18"/>
  <c r="D197" i="18"/>
  <c r="E197" i="18"/>
  <c r="F197" i="18"/>
  <c r="G197" i="18"/>
  <c r="H197" i="18"/>
  <c r="I197" i="18"/>
  <c r="J197" i="18"/>
  <c r="K197" i="18"/>
  <c r="L197" i="18"/>
  <c r="A198" i="18"/>
  <c r="B198" i="18"/>
  <c r="C198" i="18"/>
  <c r="L198" i="18" s="1"/>
  <c r="D198" i="18"/>
  <c r="E198" i="18"/>
  <c r="F198" i="18"/>
  <c r="G198" i="18"/>
  <c r="H198" i="18"/>
  <c r="I198" i="18"/>
  <c r="J198" i="18"/>
  <c r="K198" i="18"/>
  <c r="A199" i="18"/>
  <c r="B199" i="18"/>
  <c r="C199" i="18"/>
  <c r="D199" i="18"/>
  <c r="E199" i="18"/>
  <c r="F199" i="18"/>
  <c r="G199" i="18"/>
  <c r="H199" i="18"/>
  <c r="I199" i="18"/>
  <c r="J199" i="18"/>
  <c r="K199" i="18"/>
  <c r="L199" i="18"/>
  <c r="A200" i="18"/>
  <c r="B200" i="18"/>
  <c r="I200" i="18" s="1"/>
  <c r="C200" i="18"/>
  <c r="L200" i="18" s="1"/>
  <c r="D200" i="18"/>
  <c r="E200" i="18"/>
  <c r="F200" i="18"/>
  <c r="G200" i="18"/>
  <c r="H200" i="18"/>
  <c r="J200" i="18"/>
  <c r="K200" i="18"/>
  <c r="A201" i="18"/>
  <c r="B201" i="18"/>
  <c r="C201" i="18"/>
  <c r="D201" i="18"/>
  <c r="E201" i="18"/>
  <c r="F201" i="18"/>
  <c r="G201" i="18"/>
  <c r="H201" i="18"/>
  <c r="I201" i="18"/>
  <c r="J201" i="18"/>
  <c r="K201" i="18"/>
  <c r="L201" i="18"/>
  <c r="A202" i="18"/>
  <c r="B202" i="18"/>
  <c r="C202" i="18"/>
  <c r="L202" i="18" s="1"/>
  <c r="D202" i="18"/>
  <c r="E202" i="18"/>
  <c r="F202" i="18"/>
  <c r="G202" i="18"/>
  <c r="H202" i="18"/>
  <c r="I202" i="18"/>
  <c r="J202" i="18"/>
  <c r="K202" i="18"/>
  <c r="A203" i="18"/>
  <c r="B203" i="18"/>
  <c r="C203" i="18"/>
  <c r="D203" i="18"/>
  <c r="E203" i="18"/>
  <c r="F203" i="18"/>
  <c r="G203" i="18"/>
  <c r="H203" i="18"/>
  <c r="I203" i="18"/>
  <c r="J203" i="18"/>
  <c r="K203" i="18"/>
  <c r="L203" i="18"/>
  <c r="A204" i="18"/>
  <c r="B204" i="18"/>
  <c r="C204" i="18"/>
  <c r="L204" i="18" s="1"/>
  <c r="D204" i="18"/>
  <c r="E204" i="18"/>
  <c r="F204" i="18"/>
  <c r="G204" i="18"/>
  <c r="H204" i="18"/>
  <c r="I204" i="18"/>
  <c r="J204" i="18"/>
  <c r="K204" i="18"/>
  <c r="A205" i="18"/>
  <c r="B205" i="18"/>
  <c r="C205" i="18"/>
  <c r="D205" i="18"/>
  <c r="E205" i="18"/>
  <c r="F205" i="18"/>
  <c r="G205" i="18"/>
  <c r="H205" i="18"/>
  <c r="I205" i="18"/>
  <c r="J205" i="18"/>
  <c r="K205" i="18"/>
  <c r="L205" i="18"/>
  <c r="A206" i="18"/>
  <c r="B206" i="18"/>
  <c r="I206" i="18" s="1"/>
  <c r="C206" i="18"/>
  <c r="L206" i="18" s="1"/>
  <c r="D206" i="18"/>
  <c r="E206" i="18"/>
  <c r="F206" i="18"/>
  <c r="G206" i="18"/>
  <c r="H206" i="18"/>
  <c r="J206" i="18"/>
  <c r="K206" i="18"/>
  <c r="A207" i="18"/>
  <c r="B207" i="18"/>
  <c r="C207" i="18"/>
  <c r="D207" i="18"/>
  <c r="E207" i="18"/>
  <c r="F207" i="18"/>
  <c r="G207" i="18"/>
  <c r="H207" i="18"/>
  <c r="I207" i="18"/>
  <c r="J207" i="18"/>
  <c r="K207" i="18"/>
  <c r="L207" i="18"/>
  <c r="A208" i="18"/>
  <c r="B208" i="18"/>
  <c r="I208" i="18" s="1"/>
  <c r="C208" i="18"/>
  <c r="L208" i="18" s="1"/>
  <c r="D208" i="18"/>
  <c r="E208" i="18"/>
  <c r="F208" i="18"/>
  <c r="G208" i="18"/>
  <c r="H208" i="18"/>
  <c r="J208" i="18"/>
  <c r="K208" i="18"/>
  <c r="A209" i="18"/>
  <c r="B209" i="18"/>
  <c r="C209" i="18"/>
  <c r="D209" i="18"/>
  <c r="E209" i="18"/>
  <c r="F209" i="18"/>
  <c r="G209" i="18"/>
  <c r="H209" i="18"/>
  <c r="I209" i="18"/>
  <c r="J209" i="18"/>
  <c r="K209" i="18"/>
  <c r="L209" i="18"/>
  <c r="A210" i="18"/>
  <c r="B210" i="18"/>
  <c r="C210" i="18"/>
  <c r="L210" i="18" s="1"/>
  <c r="D210" i="18"/>
  <c r="E210" i="18"/>
  <c r="F210" i="18"/>
  <c r="G210" i="18"/>
  <c r="H210" i="18"/>
  <c r="I210" i="18"/>
  <c r="J210" i="18"/>
  <c r="K210" i="18"/>
  <c r="A211" i="18"/>
  <c r="B211" i="18"/>
  <c r="C211" i="18"/>
  <c r="D211" i="18"/>
  <c r="E211" i="18"/>
  <c r="F211" i="18"/>
  <c r="G211" i="18"/>
  <c r="H211" i="18"/>
  <c r="I211" i="18"/>
  <c r="J211" i="18"/>
  <c r="K211" i="18"/>
  <c r="L211" i="18"/>
  <c r="A212" i="18"/>
  <c r="B212" i="18"/>
  <c r="I212" i="18" s="1"/>
  <c r="C212" i="18"/>
  <c r="L212" i="18" s="1"/>
  <c r="D212" i="18"/>
  <c r="E212" i="18"/>
  <c r="F212" i="18"/>
  <c r="G212" i="18"/>
  <c r="H212" i="18"/>
  <c r="J212" i="18"/>
  <c r="K212" i="18"/>
  <c r="A213" i="18"/>
  <c r="B213" i="18"/>
  <c r="C213" i="18"/>
  <c r="D213" i="18"/>
  <c r="E213" i="18"/>
  <c r="F213" i="18"/>
  <c r="G213" i="18"/>
  <c r="H213" i="18"/>
  <c r="I213" i="18"/>
  <c r="J213" i="18"/>
  <c r="K213" i="18"/>
  <c r="L213" i="18"/>
  <c r="A214" i="18"/>
  <c r="B214" i="18"/>
  <c r="C214" i="18"/>
  <c r="L214" i="18" s="1"/>
  <c r="D214" i="18"/>
  <c r="E214" i="18"/>
  <c r="F214" i="18"/>
  <c r="G214" i="18"/>
  <c r="H214" i="18"/>
  <c r="I214" i="18"/>
  <c r="J214" i="18"/>
  <c r="K214" i="18"/>
  <c r="A215" i="18"/>
  <c r="B215" i="18"/>
  <c r="C215" i="18"/>
  <c r="D215" i="18"/>
  <c r="E215" i="18"/>
  <c r="F215" i="18"/>
  <c r="G215" i="18"/>
  <c r="H215" i="18"/>
  <c r="I215" i="18"/>
  <c r="J215" i="18"/>
  <c r="K215" i="18"/>
  <c r="L215" i="18"/>
  <c r="A216" i="18"/>
  <c r="B216" i="18"/>
  <c r="I216" i="18" s="1"/>
  <c r="C216" i="18"/>
  <c r="L216" i="18" s="1"/>
  <c r="D216" i="18"/>
  <c r="E216" i="18"/>
  <c r="F216" i="18"/>
  <c r="G216" i="18"/>
  <c r="H216" i="18"/>
  <c r="J216" i="18"/>
  <c r="K216" i="18"/>
  <c r="A217" i="18"/>
  <c r="B217" i="18"/>
  <c r="C217" i="18"/>
  <c r="D217" i="18"/>
  <c r="E217" i="18"/>
  <c r="F217" i="18"/>
  <c r="G217" i="18"/>
  <c r="H217" i="18"/>
  <c r="I217" i="18"/>
  <c r="J217" i="18"/>
  <c r="K217" i="18"/>
  <c r="L217" i="18"/>
  <c r="A218" i="18"/>
  <c r="B218" i="18"/>
  <c r="C218" i="18"/>
  <c r="L218" i="18" s="1"/>
  <c r="D218" i="18"/>
  <c r="E218" i="18"/>
  <c r="F218" i="18"/>
  <c r="G218" i="18"/>
  <c r="H218" i="18"/>
  <c r="I218" i="18"/>
  <c r="J218" i="18"/>
  <c r="K218" i="18"/>
  <c r="A219" i="18"/>
  <c r="B219" i="18"/>
  <c r="C219" i="18"/>
  <c r="D219" i="18"/>
  <c r="E219" i="18"/>
  <c r="F219" i="18"/>
  <c r="G219" i="18"/>
  <c r="H219" i="18"/>
  <c r="I219" i="18"/>
  <c r="J219" i="18"/>
  <c r="K219" i="18"/>
  <c r="L219" i="18"/>
  <c r="A220" i="18"/>
  <c r="B220" i="18"/>
  <c r="C220" i="18"/>
  <c r="L220" i="18" s="1"/>
  <c r="D220" i="18"/>
  <c r="E220" i="18"/>
  <c r="F220" i="18"/>
  <c r="G220" i="18"/>
  <c r="H220" i="18"/>
  <c r="I220" i="18"/>
  <c r="J220" i="18"/>
  <c r="K220" i="18"/>
  <c r="A221" i="18"/>
  <c r="B221" i="18"/>
  <c r="C221" i="18"/>
  <c r="D221" i="18"/>
  <c r="E221" i="18"/>
  <c r="F221" i="18"/>
  <c r="G221" i="18"/>
  <c r="H221" i="18"/>
  <c r="I221" i="18"/>
  <c r="J221" i="18"/>
  <c r="K221" i="18"/>
  <c r="L221" i="18"/>
  <c r="A222" i="18"/>
  <c r="B222" i="18"/>
  <c r="I222" i="18" s="1"/>
  <c r="C222" i="18"/>
  <c r="L222" i="18" s="1"/>
  <c r="D222" i="18"/>
  <c r="E222" i="18"/>
  <c r="F222" i="18"/>
  <c r="G222" i="18"/>
  <c r="H222" i="18"/>
  <c r="J222" i="18"/>
  <c r="K222" i="18"/>
  <c r="A223" i="18"/>
  <c r="B223" i="18"/>
  <c r="C223" i="18"/>
  <c r="D223" i="18"/>
  <c r="E223" i="18"/>
  <c r="F223" i="18"/>
  <c r="G223" i="18"/>
  <c r="H223" i="18"/>
  <c r="I223" i="18"/>
  <c r="J223" i="18"/>
  <c r="K223" i="18"/>
  <c r="L223" i="18"/>
  <c r="A224" i="18"/>
  <c r="B224" i="18"/>
  <c r="I224" i="18" s="1"/>
  <c r="C224" i="18"/>
  <c r="L224" i="18" s="1"/>
  <c r="D224" i="18"/>
  <c r="E224" i="18"/>
  <c r="F224" i="18"/>
  <c r="G224" i="18"/>
  <c r="H224" i="18"/>
  <c r="J224" i="18"/>
  <c r="K224" i="18"/>
  <c r="A225" i="18"/>
  <c r="B225" i="18"/>
  <c r="C225" i="18"/>
  <c r="D225" i="18"/>
  <c r="E225" i="18"/>
  <c r="F225" i="18"/>
  <c r="G225" i="18"/>
  <c r="H225" i="18"/>
  <c r="I225" i="18"/>
  <c r="J225" i="18"/>
  <c r="K225" i="18"/>
  <c r="L225" i="18"/>
  <c r="A226" i="18"/>
  <c r="B226" i="18"/>
  <c r="C226" i="18"/>
  <c r="L226" i="18" s="1"/>
  <c r="D226" i="18"/>
  <c r="E226" i="18"/>
  <c r="F226" i="18"/>
  <c r="G226" i="18"/>
  <c r="H226" i="18"/>
  <c r="I226" i="18"/>
  <c r="J226" i="18"/>
  <c r="K226" i="18"/>
  <c r="A227" i="18"/>
  <c r="B227" i="18"/>
  <c r="C227" i="18"/>
  <c r="D227" i="18"/>
  <c r="E227" i="18"/>
  <c r="F227" i="18"/>
  <c r="G227" i="18"/>
  <c r="H227" i="18"/>
  <c r="I227" i="18"/>
  <c r="J227" i="18"/>
  <c r="K227" i="18"/>
  <c r="L227" i="18"/>
  <c r="A228" i="18"/>
  <c r="B228" i="18"/>
  <c r="I228" i="18" s="1"/>
  <c r="C228" i="18"/>
  <c r="L228" i="18" s="1"/>
  <c r="D228" i="18"/>
  <c r="E228" i="18"/>
  <c r="F228" i="18"/>
  <c r="G228" i="18"/>
  <c r="H228" i="18"/>
  <c r="J228" i="18"/>
  <c r="K228" i="18"/>
  <c r="A229" i="18"/>
  <c r="B229" i="18"/>
  <c r="C229" i="18"/>
  <c r="D229" i="18"/>
  <c r="E229" i="18"/>
  <c r="F229" i="18"/>
  <c r="G229" i="18"/>
  <c r="H229" i="18"/>
  <c r="I229" i="18"/>
  <c r="J229" i="18"/>
  <c r="K229" i="18"/>
  <c r="L229" i="18"/>
  <c r="A230" i="18"/>
  <c r="B230" i="18"/>
  <c r="C230" i="18"/>
  <c r="L230" i="18" s="1"/>
  <c r="D230" i="18"/>
  <c r="E230" i="18"/>
  <c r="F230" i="18"/>
  <c r="G230" i="18"/>
  <c r="H230" i="18"/>
  <c r="I230" i="18"/>
  <c r="J230" i="18"/>
  <c r="K230" i="18"/>
  <c r="A231" i="18"/>
  <c r="B231" i="18"/>
  <c r="C231" i="18"/>
  <c r="D231" i="18"/>
  <c r="E231" i="18"/>
  <c r="F231" i="18"/>
  <c r="G231" i="18"/>
  <c r="H231" i="18"/>
  <c r="I231" i="18"/>
  <c r="J231" i="18"/>
  <c r="K231" i="18"/>
  <c r="L231" i="18"/>
  <c r="A232" i="18"/>
  <c r="B232" i="18"/>
  <c r="I232" i="18" s="1"/>
  <c r="C232" i="18"/>
  <c r="L232" i="18" s="1"/>
  <c r="D232" i="18"/>
  <c r="E232" i="18"/>
  <c r="F232" i="18"/>
  <c r="G232" i="18"/>
  <c r="H232" i="18"/>
  <c r="J232" i="18"/>
  <c r="K232" i="18"/>
  <c r="A233" i="18"/>
  <c r="B233" i="18"/>
  <c r="C233" i="18"/>
  <c r="D233" i="18"/>
  <c r="E233" i="18"/>
  <c r="F233" i="18"/>
  <c r="G233" i="18"/>
  <c r="H233" i="18"/>
  <c r="I233" i="18"/>
  <c r="J233" i="18"/>
  <c r="K233" i="18"/>
  <c r="L233" i="18"/>
  <c r="A234" i="18"/>
  <c r="B234" i="18"/>
  <c r="C234" i="18"/>
  <c r="L234" i="18" s="1"/>
  <c r="D234" i="18"/>
  <c r="E234" i="18"/>
  <c r="F234" i="18"/>
  <c r="G234" i="18"/>
  <c r="H234" i="18"/>
  <c r="I234" i="18"/>
  <c r="J234" i="18"/>
  <c r="K234" i="18"/>
  <c r="A235" i="18"/>
  <c r="B235" i="18"/>
  <c r="C235" i="18"/>
  <c r="D235" i="18"/>
  <c r="E235" i="18"/>
  <c r="F235" i="18"/>
  <c r="G235" i="18"/>
  <c r="H235" i="18"/>
  <c r="I235" i="18"/>
  <c r="J235" i="18"/>
  <c r="K235" i="18"/>
  <c r="L235" i="18"/>
  <c r="A236" i="18"/>
  <c r="B236" i="18"/>
  <c r="C236" i="18"/>
  <c r="L236" i="18" s="1"/>
  <c r="D236" i="18"/>
  <c r="E236" i="18"/>
  <c r="F236" i="18"/>
  <c r="G236" i="18"/>
  <c r="H236" i="18"/>
  <c r="I236" i="18"/>
  <c r="J236" i="18"/>
  <c r="K236" i="18"/>
  <c r="A237" i="18"/>
  <c r="B237" i="18"/>
  <c r="C237" i="18"/>
  <c r="D237" i="18"/>
  <c r="E237" i="18"/>
  <c r="F237" i="18"/>
  <c r="G237" i="18"/>
  <c r="H237" i="18"/>
  <c r="I237" i="18"/>
  <c r="J237" i="18"/>
  <c r="K237" i="18"/>
  <c r="L237" i="18"/>
  <c r="A238" i="18"/>
  <c r="B238" i="18"/>
  <c r="I238" i="18" s="1"/>
  <c r="C238" i="18"/>
  <c r="L238" i="18" s="1"/>
  <c r="D238" i="18"/>
  <c r="E238" i="18"/>
  <c r="F238" i="18"/>
  <c r="G238" i="18"/>
  <c r="H238" i="18"/>
  <c r="J238" i="18"/>
  <c r="K238" i="18"/>
  <c r="A239" i="18"/>
  <c r="B239" i="18"/>
  <c r="C239" i="18"/>
  <c r="D239" i="18"/>
  <c r="E239" i="18"/>
  <c r="F239" i="18"/>
  <c r="G239" i="18"/>
  <c r="H239" i="18"/>
  <c r="I239" i="18"/>
  <c r="J239" i="18"/>
  <c r="K239" i="18"/>
  <c r="L239" i="18"/>
  <c r="A240" i="18"/>
  <c r="B240" i="18"/>
  <c r="I240" i="18" s="1"/>
  <c r="C240" i="18"/>
  <c r="L240" i="18" s="1"/>
  <c r="D240" i="18"/>
  <c r="E240" i="18"/>
  <c r="F240" i="18"/>
  <c r="G240" i="18"/>
  <c r="H240" i="18"/>
  <c r="J240" i="18"/>
  <c r="K240" i="18"/>
  <c r="A241" i="18"/>
  <c r="B241" i="18"/>
  <c r="C241" i="18"/>
  <c r="D241" i="18"/>
  <c r="E241" i="18"/>
  <c r="F241" i="18"/>
  <c r="G241" i="18"/>
  <c r="H241" i="18"/>
  <c r="I241" i="18"/>
  <c r="J241" i="18"/>
  <c r="K241" i="18"/>
  <c r="L241" i="18"/>
  <c r="A242" i="18"/>
  <c r="B242" i="18"/>
  <c r="C242" i="18"/>
  <c r="L242" i="18" s="1"/>
  <c r="D242" i="18"/>
  <c r="E242" i="18"/>
  <c r="F242" i="18"/>
  <c r="G242" i="18"/>
  <c r="H242" i="18"/>
  <c r="I242" i="18"/>
  <c r="J242" i="18"/>
  <c r="K242" i="18"/>
  <c r="A243" i="18"/>
  <c r="B243" i="18"/>
  <c r="C243" i="18"/>
  <c r="D243" i="18"/>
  <c r="E243" i="18"/>
  <c r="F243" i="18"/>
  <c r="G243" i="18"/>
  <c r="H243" i="18"/>
  <c r="I243" i="18"/>
  <c r="J243" i="18"/>
  <c r="K243" i="18"/>
  <c r="L243" i="18"/>
  <c r="A244" i="18"/>
  <c r="B244" i="18"/>
  <c r="I244" i="18" s="1"/>
  <c r="C244" i="18"/>
  <c r="L244" i="18" s="1"/>
  <c r="D244" i="18"/>
  <c r="E244" i="18"/>
  <c r="F244" i="18"/>
  <c r="G244" i="18"/>
  <c r="H244" i="18"/>
  <c r="J244" i="18"/>
  <c r="K244" i="18"/>
  <c r="A245" i="18"/>
  <c r="B245" i="18"/>
  <c r="C245" i="18"/>
  <c r="D245" i="18"/>
  <c r="E245" i="18"/>
  <c r="F245" i="18"/>
  <c r="G245" i="18"/>
  <c r="H245" i="18"/>
  <c r="I245" i="18"/>
  <c r="J245" i="18"/>
  <c r="K245" i="18"/>
  <c r="L245" i="18"/>
  <c r="A246" i="18"/>
  <c r="B246" i="18"/>
  <c r="C246" i="18"/>
  <c r="L246" i="18" s="1"/>
  <c r="D246" i="18"/>
  <c r="E246" i="18"/>
  <c r="F246" i="18"/>
  <c r="G246" i="18"/>
  <c r="H246" i="18"/>
  <c r="I246" i="18"/>
  <c r="J246" i="18"/>
  <c r="K246" i="18"/>
  <c r="A247" i="18"/>
  <c r="B247" i="18"/>
  <c r="C247" i="18"/>
  <c r="D247" i="18"/>
  <c r="E247" i="18"/>
  <c r="F247" i="18"/>
  <c r="G247" i="18"/>
  <c r="H247" i="18"/>
  <c r="I247" i="18"/>
  <c r="J247" i="18"/>
  <c r="K247" i="18"/>
  <c r="L247" i="18"/>
  <c r="A248" i="18"/>
  <c r="B248" i="18"/>
  <c r="I248" i="18" s="1"/>
  <c r="C248" i="18"/>
  <c r="L248" i="18" s="1"/>
  <c r="D248" i="18"/>
  <c r="E248" i="18"/>
  <c r="F248" i="18"/>
  <c r="G248" i="18"/>
  <c r="H248" i="18"/>
  <c r="J248" i="18"/>
  <c r="K248" i="18"/>
  <c r="A249" i="18"/>
  <c r="B249" i="18"/>
  <c r="C249" i="18"/>
  <c r="D249" i="18"/>
  <c r="E249" i="18"/>
  <c r="F249" i="18"/>
  <c r="G249" i="18"/>
  <c r="H249" i="18"/>
  <c r="I249" i="18"/>
  <c r="J249" i="18"/>
  <c r="K249" i="18"/>
  <c r="L249" i="18"/>
  <c r="A250" i="18"/>
  <c r="B250" i="18"/>
  <c r="C250" i="18"/>
  <c r="L250" i="18" s="1"/>
  <c r="D250" i="18"/>
  <c r="E250" i="18"/>
  <c r="F250" i="18"/>
  <c r="G250" i="18"/>
  <c r="H250" i="18"/>
  <c r="I250" i="18"/>
  <c r="J250" i="18"/>
  <c r="K250" i="18"/>
  <c r="A251" i="18"/>
  <c r="B251" i="18"/>
  <c r="C251" i="18"/>
  <c r="D251" i="18"/>
  <c r="E251" i="18"/>
  <c r="F251" i="18"/>
  <c r="G251" i="18"/>
  <c r="H251" i="18"/>
  <c r="I251" i="18"/>
  <c r="J251" i="18"/>
  <c r="K251" i="18"/>
  <c r="L251" i="18"/>
  <c r="A252" i="18"/>
  <c r="B252" i="18"/>
  <c r="C252" i="18"/>
  <c r="L252" i="18" s="1"/>
  <c r="D252" i="18"/>
  <c r="E252" i="18"/>
  <c r="F252" i="18"/>
  <c r="G252" i="18"/>
  <c r="H252" i="18"/>
  <c r="I252" i="18"/>
  <c r="J252" i="18"/>
  <c r="K252" i="18"/>
  <c r="A253" i="18"/>
  <c r="B253" i="18"/>
  <c r="C253" i="18"/>
  <c r="D253" i="18"/>
  <c r="E253" i="18"/>
  <c r="F253" i="18"/>
  <c r="G253" i="18"/>
  <c r="H253" i="18"/>
  <c r="I253" i="18"/>
  <c r="J253" i="18"/>
  <c r="K253" i="18"/>
  <c r="L253" i="18"/>
  <c r="A254" i="18"/>
  <c r="B254" i="18"/>
  <c r="I254" i="18" s="1"/>
  <c r="C254" i="18"/>
  <c r="L254" i="18" s="1"/>
  <c r="D254" i="18"/>
  <c r="E254" i="18"/>
  <c r="F254" i="18"/>
  <c r="G254" i="18"/>
  <c r="H254" i="18"/>
  <c r="J254" i="18"/>
  <c r="K254" i="18"/>
  <c r="A255" i="18"/>
  <c r="B255" i="18"/>
  <c r="C255" i="18"/>
  <c r="D255" i="18"/>
  <c r="E255" i="18"/>
  <c r="F255" i="18"/>
  <c r="G255" i="18"/>
  <c r="H255" i="18"/>
  <c r="I255" i="18"/>
  <c r="J255" i="18"/>
  <c r="K255" i="18"/>
  <c r="L255" i="18"/>
  <c r="A256" i="18"/>
  <c r="B256" i="18"/>
  <c r="I256" i="18" s="1"/>
  <c r="C256" i="18"/>
  <c r="L256" i="18" s="1"/>
  <c r="D256" i="18"/>
  <c r="E256" i="18"/>
  <c r="F256" i="18"/>
  <c r="G256" i="18"/>
  <c r="H256" i="18"/>
  <c r="J256" i="18"/>
  <c r="K256" i="18"/>
  <c r="A257" i="18"/>
  <c r="B257" i="18"/>
  <c r="C257" i="18"/>
  <c r="D257" i="18"/>
  <c r="E257" i="18"/>
  <c r="F257" i="18"/>
  <c r="G257" i="18"/>
  <c r="H257" i="18"/>
  <c r="I257" i="18"/>
  <c r="J257" i="18"/>
  <c r="K257" i="18"/>
  <c r="L257" i="18"/>
  <c r="A258" i="18"/>
  <c r="B258" i="18"/>
  <c r="C258" i="18"/>
  <c r="L258" i="18" s="1"/>
  <c r="D258" i="18"/>
  <c r="E258" i="18"/>
  <c r="F258" i="18"/>
  <c r="G258" i="18"/>
  <c r="H258" i="18"/>
  <c r="I258" i="18"/>
  <c r="J258" i="18"/>
  <c r="K258" i="18"/>
  <c r="A259" i="18"/>
  <c r="B259" i="18"/>
  <c r="C259" i="18"/>
  <c r="D259" i="18"/>
  <c r="E259" i="18"/>
  <c r="F259" i="18"/>
  <c r="G259" i="18"/>
  <c r="H259" i="18"/>
  <c r="I259" i="18"/>
  <c r="J259" i="18"/>
  <c r="K259" i="18"/>
  <c r="L259" i="18"/>
  <c r="A260" i="18"/>
  <c r="B260" i="18"/>
  <c r="I260" i="18" s="1"/>
  <c r="C260" i="18"/>
  <c r="L260" i="18" s="1"/>
  <c r="D260" i="18"/>
  <c r="E260" i="18"/>
  <c r="F260" i="18"/>
  <c r="G260" i="18"/>
  <c r="H260" i="18"/>
  <c r="J260" i="18"/>
  <c r="K260" i="18"/>
  <c r="A261" i="18"/>
  <c r="B261" i="18"/>
  <c r="C261" i="18"/>
  <c r="D261" i="18"/>
  <c r="E261" i="18"/>
  <c r="F261" i="18"/>
  <c r="G261" i="18"/>
  <c r="H261" i="18"/>
  <c r="I261" i="18"/>
  <c r="J261" i="18"/>
  <c r="K261" i="18"/>
  <c r="L261" i="18"/>
  <c r="A262" i="18"/>
  <c r="B262" i="18"/>
  <c r="C262" i="18"/>
  <c r="L262" i="18" s="1"/>
  <c r="D262" i="18"/>
  <c r="E262" i="18"/>
  <c r="F262" i="18"/>
  <c r="G262" i="18"/>
  <c r="H262" i="18"/>
  <c r="I262" i="18"/>
  <c r="J262" i="18"/>
  <c r="K262" i="18"/>
  <c r="A263" i="18"/>
  <c r="B263" i="18"/>
  <c r="C263" i="18"/>
  <c r="D263" i="18"/>
  <c r="E263" i="18"/>
  <c r="F263" i="18"/>
  <c r="G263" i="18"/>
  <c r="H263" i="18"/>
  <c r="I263" i="18"/>
  <c r="J263" i="18"/>
  <c r="K263" i="18"/>
  <c r="L263" i="18"/>
  <c r="A264" i="18"/>
  <c r="B264" i="18"/>
  <c r="I264" i="18" s="1"/>
  <c r="C264" i="18"/>
  <c r="L264" i="18" s="1"/>
  <c r="D264" i="18"/>
  <c r="E264" i="18"/>
  <c r="F264" i="18"/>
  <c r="G264" i="18"/>
  <c r="H264" i="18"/>
  <c r="J264" i="18"/>
  <c r="K264" i="18"/>
  <c r="A265" i="18"/>
  <c r="B265" i="18"/>
  <c r="C265" i="18"/>
  <c r="D265" i="18"/>
  <c r="E265" i="18"/>
  <c r="F265" i="18"/>
  <c r="G265" i="18"/>
  <c r="H265" i="18"/>
  <c r="I265" i="18"/>
  <c r="J265" i="18"/>
  <c r="K265" i="18"/>
  <c r="L265" i="18"/>
  <c r="A266" i="18"/>
  <c r="B266" i="18"/>
  <c r="C266" i="18"/>
  <c r="L266" i="18" s="1"/>
  <c r="D266" i="18"/>
  <c r="E266" i="18"/>
  <c r="F266" i="18"/>
  <c r="G266" i="18"/>
  <c r="H266" i="18"/>
  <c r="I266" i="18"/>
  <c r="J266" i="18"/>
  <c r="K266" i="18"/>
  <c r="A267" i="18"/>
  <c r="B267" i="18"/>
  <c r="C267" i="18"/>
  <c r="D267" i="18"/>
  <c r="E267" i="18"/>
  <c r="F267" i="18"/>
  <c r="G267" i="18"/>
  <c r="H267" i="18"/>
  <c r="I267" i="18"/>
  <c r="J267" i="18"/>
  <c r="K267" i="18"/>
  <c r="L267" i="18"/>
  <c r="A268" i="18"/>
  <c r="B268" i="18"/>
  <c r="C268" i="18"/>
  <c r="L268" i="18" s="1"/>
  <c r="D268" i="18"/>
  <c r="E268" i="18"/>
  <c r="F268" i="18"/>
  <c r="G268" i="18"/>
  <c r="H268" i="18"/>
  <c r="I268" i="18"/>
  <c r="J268" i="18"/>
  <c r="K268" i="18"/>
  <c r="A269" i="18"/>
  <c r="B269" i="18"/>
  <c r="C269" i="18"/>
  <c r="D269" i="18"/>
  <c r="E269" i="18"/>
  <c r="F269" i="18"/>
  <c r="G269" i="18"/>
  <c r="H269" i="18"/>
  <c r="I269" i="18"/>
  <c r="J269" i="18"/>
  <c r="K269" i="18"/>
  <c r="L269" i="18"/>
  <c r="A270" i="18"/>
  <c r="B270" i="18"/>
  <c r="I270" i="18" s="1"/>
  <c r="C270" i="18"/>
  <c r="L270" i="18" s="1"/>
  <c r="D270" i="18"/>
  <c r="E270" i="18"/>
  <c r="F270" i="18"/>
  <c r="G270" i="18"/>
  <c r="H270" i="18"/>
  <c r="J270" i="18"/>
  <c r="K270" i="18"/>
  <c r="A271" i="18"/>
  <c r="B271" i="18"/>
  <c r="C271" i="18"/>
  <c r="D271" i="18"/>
  <c r="E271" i="18"/>
  <c r="F271" i="18"/>
  <c r="G271" i="18"/>
  <c r="H271" i="18"/>
  <c r="I271" i="18"/>
  <c r="J271" i="18"/>
  <c r="K271" i="18"/>
  <c r="L271" i="18"/>
  <c r="A272" i="18"/>
  <c r="B272" i="18"/>
  <c r="I272" i="18" s="1"/>
  <c r="C272" i="18"/>
  <c r="L272" i="18" s="1"/>
  <c r="D272" i="18"/>
  <c r="E272" i="18"/>
  <c r="F272" i="18"/>
  <c r="G272" i="18"/>
  <c r="H272" i="18"/>
  <c r="J272" i="18"/>
  <c r="K272" i="18"/>
  <c r="A273" i="18"/>
  <c r="B273" i="18"/>
  <c r="C273" i="18"/>
  <c r="D273" i="18"/>
  <c r="E273" i="18"/>
  <c r="F273" i="18"/>
  <c r="G273" i="18"/>
  <c r="H273" i="18"/>
  <c r="I273" i="18"/>
  <c r="J273" i="18"/>
  <c r="K273" i="18"/>
  <c r="L273" i="18"/>
  <c r="A274" i="18"/>
  <c r="B274" i="18"/>
  <c r="C274" i="18"/>
  <c r="L274" i="18" s="1"/>
  <c r="D274" i="18"/>
  <c r="E274" i="18"/>
  <c r="F274" i="18"/>
  <c r="G274" i="18"/>
  <c r="H274" i="18"/>
  <c r="I274" i="18"/>
  <c r="J274" i="18"/>
  <c r="K274" i="18"/>
  <c r="A275" i="18"/>
  <c r="B275" i="18"/>
  <c r="C275" i="18"/>
  <c r="D275" i="18"/>
  <c r="E275" i="18"/>
  <c r="F275" i="18"/>
  <c r="G275" i="18"/>
  <c r="H275" i="18"/>
  <c r="I275" i="18"/>
  <c r="J275" i="18"/>
  <c r="K275" i="18"/>
  <c r="L275" i="18"/>
  <c r="A276" i="18"/>
  <c r="B276" i="18"/>
  <c r="I276" i="18" s="1"/>
  <c r="C276" i="18"/>
  <c r="L276" i="18" s="1"/>
  <c r="D276" i="18"/>
  <c r="E276" i="18"/>
  <c r="F276" i="18"/>
  <c r="G276" i="18"/>
  <c r="H276" i="18"/>
  <c r="J276" i="18"/>
  <c r="K276" i="18"/>
  <c r="A277" i="18"/>
  <c r="B277" i="18"/>
  <c r="C277" i="18"/>
  <c r="D277" i="18"/>
  <c r="E277" i="18"/>
  <c r="F277" i="18"/>
  <c r="G277" i="18"/>
  <c r="H277" i="18"/>
  <c r="I277" i="18"/>
  <c r="J277" i="18"/>
  <c r="K277" i="18"/>
  <c r="L277" i="18"/>
  <c r="A278" i="18"/>
  <c r="B278" i="18"/>
  <c r="C278" i="18"/>
  <c r="L278" i="18" s="1"/>
  <c r="D278" i="18"/>
  <c r="E278" i="18"/>
  <c r="F278" i="18"/>
  <c r="G278" i="18"/>
  <c r="H278" i="18"/>
  <c r="I278" i="18"/>
  <c r="J278" i="18"/>
  <c r="K278" i="18"/>
  <c r="A279" i="18"/>
  <c r="B279" i="18"/>
  <c r="C279" i="18"/>
  <c r="D279" i="18"/>
  <c r="E279" i="18"/>
  <c r="F279" i="18"/>
  <c r="G279" i="18"/>
  <c r="H279" i="18"/>
  <c r="I279" i="18"/>
  <c r="J279" i="18"/>
  <c r="K279" i="18"/>
  <c r="L279" i="18"/>
  <c r="A280" i="18"/>
  <c r="B280" i="18"/>
  <c r="I280" i="18" s="1"/>
  <c r="C280" i="18"/>
  <c r="L280" i="18" s="1"/>
  <c r="D280" i="18"/>
  <c r="E280" i="18"/>
  <c r="F280" i="18"/>
  <c r="G280" i="18"/>
  <c r="H280" i="18"/>
  <c r="J280" i="18"/>
  <c r="K280" i="18"/>
  <c r="A281" i="18"/>
  <c r="B281" i="18"/>
  <c r="C281" i="18"/>
  <c r="D281" i="18"/>
  <c r="E281" i="18"/>
  <c r="F281" i="18"/>
  <c r="G281" i="18"/>
  <c r="H281" i="18"/>
  <c r="I281" i="18"/>
  <c r="J281" i="18"/>
  <c r="K281" i="18"/>
  <c r="L281" i="18"/>
  <c r="A282" i="18"/>
  <c r="B282" i="18"/>
  <c r="C282" i="18"/>
  <c r="L282" i="18" s="1"/>
  <c r="D282" i="18"/>
  <c r="E282" i="18"/>
  <c r="F282" i="18"/>
  <c r="G282" i="18"/>
  <c r="H282" i="18"/>
  <c r="I282" i="18"/>
  <c r="J282" i="18"/>
  <c r="K282" i="18"/>
  <c r="A283" i="18"/>
  <c r="B283" i="18"/>
  <c r="C283" i="18"/>
  <c r="D283" i="18"/>
  <c r="E283" i="18"/>
  <c r="F283" i="18"/>
  <c r="G283" i="18"/>
  <c r="H283" i="18"/>
  <c r="I283" i="18"/>
  <c r="J283" i="18"/>
  <c r="K283" i="18"/>
  <c r="L283" i="18"/>
  <c r="A284" i="18"/>
  <c r="B284" i="18"/>
  <c r="C284" i="18"/>
  <c r="L284" i="18" s="1"/>
  <c r="D284" i="18"/>
  <c r="E284" i="18"/>
  <c r="F284" i="18"/>
  <c r="G284" i="18"/>
  <c r="H284" i="18"/>
  <c r="I284" i="18"/>
  <c r="J284" i="18"/>
  <c r="K284" i="18"/>
  <c r="A285" i="18"/>
  <c r="B285" i="18"/>
  <c r="C285" i="18"/>
  <c r="D285" i="18"/>
  <c r="E285" i="18"/>
  <c r="F285" i="18"/>
  <c r="G285" i="18"/>
  <c r="H285" i="18"/>
  <c r="I285" i="18"/>
  <c r="J285" i="18"/>
  <c r="K285" i="18"/>
  <c r="L285" i="18"/>
  <c r="A286" i="18"/>
  <c r="B286" i="18"/>
  <c r="I286" i="18" s="1"/>
  <c r="C286" i="18"/>
  <c r="L286" i="18" s="1"/>
  <c r="D286" i="18"/>
  <c r="E286" i="18"/>
  <c r="F286" i="18"/>
  <c r="G286" i="18"/>
  <c r="H286" i="18"/>
  <c r="J286" i="18"/>
  <c r="K286" i="18"/>
  <c r="A287" i="18"/>
  <c r="B287" i="18"/>
  <c r="C287" i="18"/>
  <c r="D287" i="18"/>
  <c r="E287" i="18"/>
  <c r="F287" i="18"/>
  <c r="G287" i="18"/>
  <c r="H287" i="18"/>
  <c r="I287" i="18"/>
  <c r="J287" i="18"/>
  <c r="K287" i="18"/>
  <c r="L287" i="18"/>
  <c r="A288" i="18"/>
  <c r="B288" i="18"/>
  <c r="I288" i="18" s="1"/>
  <c r="C288" i="18"/>
  <c r="L288" i="18" s="1"/>
  <c r="D288" i="18"/>
  <c r="E288" i="18"/>
  <c r="F288" i="18"/>
  <c r="G288" i="18"/>
  <c r="H288" i="18"/>
  <c r="J288" i="18"/>
  <c r="K288" i="18"/>
  <c r="A289" i="18"/>
  <c r="B289" i="18"/>
  <c r="C289" i="18"/>
  <c r="D289" i="18"/>
  <c r="E289" i="18"/>
  <c r="F289" i="18"/>
  <c r="G289" i="18"/>
  <c r="H289" i="18"/>
  <c r="I289" i="18"/>
  <c r="J289" i="18"/>
  <c r="K289" i="18"/>
  <c r="L289" i="18"/>
  <c r="A290" i="18"/>
  <c r="B290" i="18"/>
  <c r="C290" i="18"/>
  <c r="L290" i="18" s="1"/>
  <c r="D290" i="18"/>
  <c r="E290" i="18"/>
  <c r="F290" i="18"/>
  <c r="G290" i="18"/>
  <c r="H290" i="18"/>
  <c r="I290" i="18"/>
  <c r="J290" i="18"/>
  <c r="K290" i="18"/>
  <c r="A291" i="18"/>
  <c r="B291" i="18"/>
  <c r="C291" i="18"/>
  <c r="D291" i="18"/>
  <c r="E291" i="18"/>
  <c r="F291" i="18"/>
  <c r="G291" i="18"/>
  <c r="H291" i="18"/>
  <c r="I291" i="18"/>
  <c r="J291" i="18"/>
  <c r="K291" i="18"/>
  <c r="L291" i="18"/>
  <c r="A292" i="18"/>
  <c r="B292" i="18"/>
  <c r="I292" i="18" s="1"/>
  <c r="C292" i="18"/>
  <c r="L292" i="18" s="1"/>
  <c r="D292" i="18"/>
  <c r="E292" i="18"/>
  <c r="F292" i="18"/>
  <c r="G292" i="18"/>
  <c r="H292" i="18"/>
  <c r="J292" i="18"/>
  <c r="K292" i="18"/>
  <c r="A293" i="18"/>
  <c r="B293" i="18"/>
  <c r="C293" i="18"/>
  <c r="D293" i="18"/>
  <c r="E293" i="18"/>
  <c r="F293" i="18"/>
  <c r="G293" i="18"/>
  <c r="H293" i="18"/>
  <c r="I293" i="18"/>
  <c r="J293" i="18"/>
  <c r="K293" i="18"/>
  <c r="L293" i="18"/>
  <c r="A294" i="18"/>
  <c r="B294" i="18"/>
  <c r="C294" i="18"/>
  <c r="L294" i="18" s="1"/>
  <c r="D294" i="18"/>
  <c r="E294" i="18"/>
  <c r="F294" i="18"/>
  <c r="G294" i="18"/>
  <c r="H294" i="18"/>
  <c r="I294" i="18"/>
  <c r="J294" i="18"/>
  <c r="K294" i="18"/>
  <c r="A295" i="18"/>
  <c r="B295" i="18"/>
  <c r="C295" i="18"/>
  <c r="D295" i="18"/>
  <c r="E295" i="18"/>
  <c r="F295" i="18"/>
  <c r="G295" i="18"/>
  <c r="H295" i="18"/>
  <c r="I295" i="18"/>
  <c r="J295" i="18"/>
  <c r="K295" i="18"/>
  <c r="L295" i="18"/>
  <c r="A296" i="18"/>
  <c r="B296" i="18"/>
  <c r="I296" i="18" s="1"/>
  <c r="C296" i="18"/>
  <c r="L296" i="18" s="1"/>
  <c r="D296" i="18"/>
  <c r="E296" i="18"/>
  <c r="F296" i="18"/>
  <c r="G296" i="18"/>
  <c r="H296" i="18"/>
  <c r="J296" i="18"/>
  <c r="K296" i="18"/>
  <c r="A297" i="18"/>
  <c r="B297" i="18"/>
  <c r="C297" i="18"/>
  <c r="D297" i="18"/>
  <c r="E297" i="18"/>
  <c r="F297" i="18"/>
  <c r="G297" i="18"/>
  <c r="H297" i="18"/>
  <c r="I297" i="18"/>
  <c r="J297" i="18"/>
  <c r="K297" i="18"/>
  <c r="L297" i="18"/>
  <c r="A298" i="18"/>
  <c r="B298" i="18"/>
  <c r="C298" i="18"/>
  <c r="L298" i="18" s="1"/>
  <c r="D298" i="18"/>
  <c r="E298" i="18"/>
  <c r="F298" i="18"/>
  <c r="G298" i="18"/>
  <c r="H298" i="18"/>
  <c r="I298" i="18"/>
  <c r="J298" i="18"/>
  <c r="K298" i="18"/>
  <c r="A299" i="18"/>
  <c r="B299" i="18"/>
  <c r="C299" i="18"/>
  <c r="D299" i="18"/>
  <c r="E299" i="18"/>
  <c r="F299" i="18"/>
  <c r="G299" i="18"/>
  <c r="H299" i="18"/>
  <c r="I299" i="18"/>
  <c r="J299" i="18"/>
  <c r="K299" i="18"/>
  <c r="L299" i="18"/>
  <c r="A300" i="18"/>
  <c r="B300" i="18"/>
  <c r="C300" i="18"/>
  <c r="L300" i="18" s="1"/>
  <c r="D300" i="18"/>
  <c r="E300" i="18"/>
  <c r="F300" i="18"/>
  <c r="G300" i="18"/>
  <c r="H300" i="18"/>
  <c r="I300" i="18"/>
  <c r="J300" i="18"/>
  <c r="K300" i="18"/>
  <c r="A301" i="18"/>
  <c r="B301" i="18"/>
  <c r="C301" i="18"/>
  <c r="D301" i="18"/>
  <c r="E301" i="18"/>
  <c r="F301" i="18"/>
  <c r="G301" i="18"/>
  <c r="H301" i="18"/>
  <c r="I301" i="18"/>
  <c r="J301" i="18"/>
  <c r="K301" i="18"/>
  <c r="L301" i="18"/>
  <c r="A302" i="18"/>
  <c r="B302" i="18"/>
  <c r="I302" i="18" s="1"/>
  <c r="C302" i="18"/>
  <c r="L302" i="18" s="1"/>
  <c r="D302" i="18"/>
  <c r="E302" i="18"/>
  <c r="F302" i="18"/>
  <c r="G302" i="18"/>
  <c r="H302" i="18"/>
  <c r="J302" i="18"/>
  <c r="K302" i="18"/>
  <c r="A303" i="18"/>
  <c r="B303" i="18"/>
  <c r="C303" i="18"/>
  <c r="D303" i="18"/>
  <c r="E303" i="18"/>
  <c r="F303" i="18"/>
  <c r="G303" i="18"/>
  <c r="H303" i="18"/>
  <c r="I303" i="18"/>
  <c r="J303" i="18"/>
  <c r="K303" i="18"/>
  <c r="L303" i="18"/>
  <c r="A304" i="18"/>
  <c r="B304" i="18"/>
  <c r="I304" i="18" s="1"/>
  <c r="C304" i="18"/>
  <c r="L304" i="18" s="1"/>
  <c r="D304" i="18"/>
  <c r="E304" i="18"/>
  <c r="F304" i="18"/>
  <c r="G304" i="18"/>
  <c r="H304" i="18"/>
  <c r="J304" i="18"/>
  <c r="K304" i="18"/>
  <c r="A305" i="18"/>
  <c r="B305" i="18"/>
  <c r="C305" i="18"/>
  <c r="D305" i="18"/>
  <c r="E305" i="18"/>
  <c r="F305" i="18"/>
  <c r="G305" i="18"/>
  <c r="H305" i="18"/>
  <c r="I305" i="18"/>
  <c r="J305" i="18"/>
  <c r="K305" i="18"/>
  <c r="L305" i="18"/>
  <c r="A306" i="18"/>
  <c r="B306" i="18"/>
  <c r="C306" i="18"/>
  <c r="L306" i="18" s="1"/>
  <c r="D306" i="18"/>
  <c r="E306" i="18"/>
  <c r="F306" i="18"/>
  <c r="G306" i="18"/>
  <c r="H306" i="18"/>
  <c r="I306" i="18"/>
  <c r="J306" i="18"/>
  <c r="K306" i="18"/>
  <c r="A307" i="18"/>
  <c r="B307" i="18"/>
  <c r="C307" i="18"/>
  <c r="D307" i="18"/>
  <c r="E307" i="18"/>
  <c r="F307" i="18"/>
  <c r="G307" i="18"/>
  <c r="H307" i="18"/>
  <c r="I307" i="18"/>
  <c r="J307" i="18"/>
  <c r="K307" i="18"/>
  <c r="L307" i="18"/>
  <c r="A308" i="18"/>
  <c r="B308" i="18"/>
  <c r="I308" i="18" s="1"/>
  <c r="C308" i="18"/>
  <c r="L308" i="18" s="1"/>
  <c r="D308" i="18"/>
  <c r="E308" i="18"/>
  <c r="F308" i="18"/>
  <c r="G308" i="18"/>
  <c r="H308" i="18"/>
  <c r="J308" i="18"/>
  <c r="K308" i="18"/>
  <c r="A309" i="18"/>
  <c r="B309" i="18"/>
  <c r="C309" i="18"/>
  <c r="D309" i="18"/>
  <c r="E309" i="18"/>
  <c r="F309" i="18"/>
  <c r="G309" i="18"/>
  <c r="H309" i="18"/>
  <c r="I309" i="18"/>
  <c r="J309" i="18"/>
  <c r="K309" i="18"/>
  <c r="L309" i="18"/>
  <c r="A310" i="18"/>
  <c r="B310" i="18"/>
  <c r="C310" i="18"/>
  <c r="L310" i="18" s="1"/>
  <c r="D310" i="18"/>
  <c r="E310" i="18"/>
  <c r="F310" i="18"/>
  <c r="G310" i="18"/>
  <c r="H310" i="18"/>
  <c r="I310" i="18"/>
  <c r="J310" i="18"/>
  <c r="K310" i="18"/>
  <c r="A311" i="18"/>
  <c r="B311" i="18"/>
  <c r="C311" i="18"/>
  <c r="D311" i="18"/>
  <c r="E311" i="18"/>
  <c r="F311" i="18"/>
  <c r="G311" i="18"/>
  <c r="H311" i="18"/>
  <c r="I311" i="18"/>
  <c r="J311" i="18"/>
  <c r="K311" i="18"/>
  <c r="L311" i="18"/>
  <c r="A312" i="18"/>
  <c r="B312" i="18"/>
  <c r="I312" i="18" s="1"/>
  <c r="C312" i="18"/>
  <c r="L312" i="18" s="1"/>
  <c r="D312" i="18"/>
  <c r="E312" i="18"/>
  <c r="F312" i="18"/>
  <c r="G312" i="18"/>
  <c r="H312" i="18"/>
  <c r="J312" i="18"/>
  <c r="K312" i="18"/>
  <c r="A313" i="18"/>
  <c r="B313" i="18"/>
  <c r="C313" i="18"/>
  <c r="D313" i="18"/>
  <c r="E313" i="18"/>
  <c r="F313" i="18"/>
  <c r="G313" i="18"/>
  <c r="H313" i="18"/>
  <c r="I313" i="18"/>
  <c r="J313" i="18"/>
  <c r="K313" i="18"/>
  <c r="L313" i="18"/>
  <c r="A314" i="18"/>
  <c r="B314" i="18"/>
  <c r="C314" i="18"/>
  <c r="L314" i="18" s="1"/>
  <c r="D314" i="18"/>
  <c r="E314" i="18"/>
  <c r="F314" i="18"/>
  <c r="G314" i="18"/>
  <c r="H314" i="18"/>
  <c r="I314" i="18"/>
  <c r="J314" i="18"/>
  <c r="K314" i="18"/>
  <c r="A315" i="18"/>
  <c r="B315" i="18"/>
  <c r="C315" i="18"/>
  <c r="D315" i="18"/>
  <c r="E315" i="18"/>
  <c r="F315" i="18"/>
  <c r="G315" i="18"/>
  <c r="H315" i="18"/>
  <c r="I315" i="18"/>
  <c r="J315" i="18"/>
  <c r="K315" i="18"/>
  <c r="L315" i="18"/>
  <c r="A316" i="18"/>
  <c r="B316" i="18"/>
  <c r="C316" i="18"/>
  <c r="L316" i="18" s="1"/>
  <c r="D316" i="18"/>
  <c r="E316" i="18"/>
  <c r="F316" i="18"/>
  <c r="G316" i="18"/>
  <c r="H316" i="18"/>
  <c r="I316" i="18"/>
  <c r="J316" i="18"/>
  <c r="K316" i="18"/>
  <c r="A317" i="18"/>
  <c r="B317" i="18"/>
  <c r="C317" i="18"/>
  <c r="D317" i="18"/>
  <c r="E317" i="18"/>
  <c r="F317" i="18"/>
  <c r="G317" i="18"/>
  <c r="H317" i="18"/>
  <c r="I317" i="18"/>
  <c r="J317" i="18"/>
  <c r="K317" i="18"/>
  <c r="L317" i="18"/>
  <c r="A318" i="18"/>
  <c r="B318" i="18"/>
  <c r="I318" i="18" s="1"/>
  <c r="C318" i="18"/>
  <c r="L318" i="18" s="1"/>
  <c r="D318" i="18"/>
  <c r="E318" i="18"/>
  <c r="F318" i="18"/>
  <c r="G318" i="18"/>
  <c r="H318" i="18"/>
  <c r="J318" i="18"/>
  <c r="K318" i="18"/>
  <c r="A319" i="18"/>
  <c r="B319" i="18"/>
  <c r="C319" i="18"/>
  <c r="D319" i="18"/>
  <c r="E319" i="18"/>
  <c r="F319" i="18"/>
  <c r="G319" i="18"/>
  <c r="H319" i="18"/>
  <c r="I319" i="18"/>
  <c r="J319" i="18"/>
  <c r="K319" i="18"/>
  <c r="L319" i="18"/>
  <c r="A320" i="18"/>
  <c r="B320" i="18"/>
  <c r="I320" i="18" s="1"/>
  <c r="C320" i="18"/>
  <c r="L320" i="18" s="1"/>
  <c r="D320" i="18"/>
  <c r="E320" i="18"/>
  <c r="F320" i="18"/>
  <c r="G320" i="18"/>
  <c r="H320" i="18"/>
  <c r="J320" i="18"/>
  <c r="K320" i="18"/>
  <c r="A321" i="18"/>
  <c r="B321" i="18"/>
  <c r="C321" i="18"/>
  <c r="D321" i="18"/>
  <c r="E321" i="18"/>
  <c r="F321" i="18"/>
  <c r="G321" i="18"/>
  <c r="H321" i="18"/>
  <c r="I321" i="18"/>
  <c r="J321" i="18"/>
  <c r="K321" i="18"/>
  <c r="L321" i="18"/>
  <c r="A322" i="18"/>
  <c r="B322" i="18"/>
  <c r="C322" i="18"/>
  <c r="L322" i="18" s="1"/>
  <c r="D322" i="18"/>
  <c r="E322" i="18"/>
  <c r="F322" i="18"/>
  <c r="G322" i="18"/>
  <c r="H322" i="18"/>
  <c r="I322" i="18"/>
  <c r="J322" i="18"/>
  <c r="K322" i="18"/>
  <c r="A323" i="18"/>
  <c r="B323" i="18"/>
  <c r="C323" i="18"/>
  <c r="D323" i="18"/>
  <c r="E323" i="18"/>
  <c r="F323" i="18"/>
  <c r="G323" i="18"/>
  <c r="H323" i="18"/>
  <c r="I323" i="18"/>
  <c r="J323" i="18"/>
  <c r="K323" i="18"/>
  <c r="L323" i="18"/>
  <c r="A324" i="18"/>
  <c r="B324" i="18"/>
  <c r="I324" i="18" s="1"/>
  <c r="C324" i="18"/>
  <c r="L324" i="18" s="1"/>
  <c r="D324" i="18"/>
  <c r="E324" i="18"/>
  <c r="F324" i="18"/>
  <c r="G324" i="18"/>
  <c r="H324" i="18"/>
  <c r="J324" i="18"/>
  <c r="K324" i="18"/>
  <c r="A325" i="18"/>
  <c r="B325" i="18"/>
  <c r="C325" i="18"/>
  <c r="D325" i="18"/>
  <c r="E325" i="18"/>
  <c r="F325" i="18"/>
  <c r="G325" i="18"/>
  <c r="H325" i="18"/>
  <c r="I325" i="18"/>
  <c r="J325" i="18"/>
  <c r="K325" i="18"/>
  <c r="L325" i="18"/>
  <c r="A326" i="18"/>
  <c r="B326" i="18"/>
  <c r="C326" i="18"/>
  <c r="L326" i="18" s="1"/>
  <c r="D326" i="18"/>
  <c r="E326" i="18"/>
  <c r="F326" i="18"/>
  <c r="G326" i="18"/>
  <c r="H326" i="18"/>
  <c r="I326" i="18"/>
  <c r="J326" i="18"/>
  <c r="K326" i="18"/>
  <c r="A327" i="18"/>
  <c r="B327" i="18"/>
  <c r="C327" i="18"/>
  <c r="D327" i="18"/>
  <c r="E327" i="18"/>
  <c r="F327" i="18"/>
  <c r="G327" i="18"/>
  <c r="H327" i="18"/>
  <c r="I327" i="18"/>
  <c r="J327" i="18"/>
  <c r="K327" i="18"/>
  <c r="L327" i="18"/>
  <c r="A328" i="18"/>
  <c r="B328" i="18"/>
  <c r="I328" i="18" s="1"/>
  <c r="C328" i="18"/>
  <c r="L328" i="18" s="1"/>
  <c r="D328" i="18"/>
  <c r="E328" i="18"/>
  <c r="F328" i="18"/>
  <c r="G328" i="18"/>
  <c r="H328" i="18"/>
  <c r="J328" i="18"/>
  <c r="K328" i="18"/>
  <c r="A329" i="18"/>
  <c r="B329" i="18"/>
  <c r="C329" i="18"/>
  <c r="D329" i="18"/>
  <c r="E329" i="18"/>
  <c r="F329" i="18"/>
  <c r="G329" i="18"/>
  <c r="H329" i="18"/>
  <c r="I329" i="18"/>
  <c r="J329" i="18"/>
  <c r="K329" i="18"/>
  <c r="L329" i="18"/>
  <c r="A330" i="18"/>
  <c r="B330" i="18"/>
  <c r="C330" i="18"/>
  <c r="L330" i="18" s="1"/>
  <c r="D330" i="18"/>
  <c r="E330" i="18"/>
  <c r="F330" i="18"/>
  <c r="G330" i="18"/>
  <c r="H330" i="18"/>
  <c r="I330" i="18"/>
  <c r="J330" i="18"/>
  <c r="K330" i="18"/>
  <c r="A331" i="18"/>
  <c r="B331" i="18"/>
  <c r="C331" i="18"/>
  <c r="D331" i="18"/>
  <c r="E331" i="18"/>
  <c r="F331" i="18"/>
  <c r="G331" i="18"/>
  <c r="H331" i="18"/>
  <c r="I331" i="18"/>
  <c r="J331" i="18"/>
  <c r="K331" i="18"/>
  <c r="L331" i="18"/>
  <c r="A332" i="18"/>
  <c r="B332" i="18"/>
  <c r="C332" i="18"/>
  <c r="L332" i="18" s="1"/>
  <c r="D332" i="18"/>
  <c r="E332" i="18"/>
  <c r="F332" i="18"/>
  <c r="G332" i="18"/>
  <c r="H332" i="18"/>
  <c r="I332" i="18"/>
  <c r="J332" i="18"/>
  <c r="K332" i="18"/>
  <c r="A333" i="18"/>
  <c r="B333" i="18"/>
  <c r="C333" i="18"/>
  <c r="D333" i="18"/>
  <c r="E333" i="18"/>
  <c r="F333" i="18"/>
  <c r="G333" i="18"/>
  <c r="H333" i="18"/>
  <c r="I333" i="18"/>
  <c r="J333" i="18"/>
  <c r="K333" i="18"/>
  <c r="L333" i="18"/>
  <c r="A334" i="18"/>
  <c r="B334" i="18"/>
  <c r="I334" i="18" s="1"/>
  <c r="C334" i="18"/>
  <c r="L334" i="18" s="1"/>
  <c r="D334" i="18"/>
  <c r="E334" i="18"/>
  <c r="F334" i="18"/>
  <c r="G334" i="18"/>
  <c r="H334" i="18"/>
  <c r="J334" i="18"/>
  <c r="K334" i="18"/>
  <c r="A335" i="18"/>
  <c r="B335" i="18"/>
  <c r="C335" i="18"/>
  <c r="D335" i="18"/>
  <c r="E335" i="18"/>
  <c r="F335" i="18"/>
  <c r="G335" i="18"/>
  <c r="H335" i="18"/>
  <c r="I335" i="18"/>
  <c r="J335" i="18"/>
  <c r="K335" i="18"/>
  <c r="L335" i="18"/>
  <c r="A336" i="18"/>
  <c r="B336" i="18"/>
  <c r="I336" i="18" s="1"/>
  <c r="C336" i="18"/>
  <c r="L336" i="18" s="1"/>
  <c r="D336" i="18"/>
  <c r="E336" i="18"/>
  <c r="F336" i="18"/>
  <c r="G336" i="18"/>
  <c r="H336" i="18"/>
  <c r="J336" i="18"/>
  <c r="K336" i="18"/>
  <c r="A337" i="18"/>
  <c r="B337" i="18"/>
  <c r="C337" i="18"/>
  <c r="D337" i="18"/>
  <c r="E337" i="18"/>
  <c r="F337" i="18"/>
  <c r="G337" i="18"/>
  <c r="H337" i="18"/>
  <c r="I337" i="18"/>
  <c r="J337" i="18"/>
  <c r="K337" i="18"/>
  <c r="L337" i="18"/>
  <c r="A338" i="18"/>
  <c r="B338" i="18"/>
  <c r="C338" i="18"/>
  <c r="L338" i="18" s="1"/>
  <c r="D338" i="18"/>
  <c r="E338" i="18"/>
  <c r="F338" i="18"/>
  <c r="G338" i="18"/>
  <c r="H338" i="18"/>
  <c r="I338" i="18"/>
  <c r="J338" i="18"/>
  <c r="K338" i="18"/>
  <c r="A339" i="18"/>
  <c r="B339" i="18"/>
  <c r="C339" i="18"/>
  <c r="D339" i="18"/>
  <c r="E339" i="18"/>
  <c r="F339" i="18"/>
  <c r="G339" i="18"/>
  <c r="H339" i="18"/>
  <c r="I339" i="18"/>
  <c r="J339" i="18"/>
  <c r="K339" i="18"/>
  <c r="L339" i="18"/>
  <c r="A340" i="18"/>
  <c r="B340" i="18"/>
  <c r="C340" i="18"/>
  <c r="L340" i="18" s="1"/>
  <c r="D340" i="18"/>
  <c r="E340" i="18"/>
  <c r="F340" i="18"/>
  <c r="G340" i="18"/>
  <c r="H340" i="18"/>
  <c r="I340" i="18"/>
  <c r="J340" i="18"/>
  <c r="K340" i="18"/>
  <c r="A341" i="18"/>
  <c r="B341" i="18"/>
  <c r="C341" i="18"/>
  <c r="D341" i="18"/>
  <c r="E341" i="18"/>
  <c r="F341" i="18"/>
  <c r="G341" i="18"/>
  <c r="H341" i="18"/>
  <c r="I341" i="18"/>
  <c r="J341" i="18"/>
  <c r="K341" i="18"/>
  <c r="L341" i="18"/>
  <c r="A342" i="18"/>
  <c r="B342" i="18"/>
  <c r="C342" i="18"/>
  <c r="L342" i="18" s="1"/>
  <c r="D342" i="18"/>
  <c r="E342" i="18"/>
  <c r="F342" i="18"/>
  <c r="G342" i="18"/>
  <c r="H342" i="18"/>
  <c r="I342" i="18"/>
  <c r="J342" i="18"/>
  <c r="K342" i="18"/>
  <c r="A343" i="18"/>
  <c r="B343" i="18"/>
  <c r="C343" i="18"/>
  <c r="D343" i="18"/>
  <c r="E343" i="18"/>
  <c r="F343" i="18"/>
  <c r="G343" i="18"/>
  <c r="H343" i="18"/>
  <c r="I343" i="18"/>
  <c r="J343" i="18"/>
  <c r="K343" i="18"/>
  <c r="L343" i="18"/>
  <c r="A344" i="18"/>
  <c r="B344" i="18"/>
  <c r="I344" i="18" s="1"/>
  <c r="C344" i="18"/>
  <c r="L344" i="18" s="1"/>
  <c r="D344" i="18"/>
  <c r="E344" i="18"/>
  <c r="F344" i="18"/>
  <c r="G344" i="18"/>
  <c r="H344" i="18"/>
  <c r="J344" i="18"/>
  <c r="K344" i="18"/>
  <c r="A345" i="18"/>
  <c r="B345" i="18"/>
  <c r="C345" i="18"/>
  <c r="D345" i="18"/>
  <c r="E345" i="18"/>
  <c r="F345" i="18"/>
  <c r="G345" i="18"/>
  <c r="H345" i="18"/>
  <c r="I345" i="18"/>
  <c r="J345" i="18"/>
  <c r="K345" i="18"/>
  <c r="L345" i="18"/>
  <c r="A346" i="18"/>
  <c r="B346" i="18"/>
  <c r="C346" i="18"/>
  <c r="L346" i="18" s="1"/>
  <c r="D346" i="18"/>
  <c r="E346" i="18"/>
  <c r="F346" i="18"/>
  <c r="G346" i="18"/>
  <c r="H346" i="18"/>
  <c r="I346" i="18"/>
  <c r="J346" i="18"/>
  <c r="K346" i="18"/>
  <c r="A347" i="18"/>
  <c r="B347" i="18"/>
  <c r="C347" i="18"/>
  <c r="D347" i="18"/>
  <c r="E347" i="18"/>
  <c r="F347" i="18"/>
  <c r="G347" i="18"/>
  <c r="H347" i="18"/>
  <c r="I347" i="18"/>
  <c r="J347" i="18"/>
  <c r="K347" i="18"/>
  <c r="L347" i="18"/>
  <c r="A348" i="18"/>
  <c r="B348" i="18"/>
  <c r="C348" i="18"/>
  <c r="L348" i="18" s="1"/>
  <c r="D348" i="18"/>
  <c r="E348" i="18"/>
  <c r="F348" i="18"/>
  <c r="G348" i="18"/>
  <c r="H348" i="18"/>
  <c r="I348" i="18"/>
  <c r="J348" i="18"/>
  <c r="K348" i="18"/>
  <c r="A349" i="18"/>
  <c r="B349" i="18"/>
  <c r="C349" i="18"/>
  <c r="D349" i="18"/>
  <c r="E349" i="18"/>
  <c r="F349" i="18"/>
  <c r="G349" i="18"/>
  <c r="H349" i="18"/>
  <c r="I349" i="18"/>
  <c r="J349" i="18"/>
  <c r="K349" i="18"/>
  <c r="L349" i="18"/>
  <c r="A350" i="18"/>
  <c r="B350" i="18"/>
  <c r="I350" i="18" s="1"/>
  <c r="C350" i="18"/>
  <c r="L350" i="18" s="1"/>
  <c r="D350" i="18"/>
  <c r="E350" i="18"/>
  <c r="F350" i="18"/>
  <c r="G350" i="18"/>
  <c r="H350" i="18"/>
  <c r="J350" i="18"/>
  <c r="K350" i="18"/>
  <c r="A351" i="18"/>
  <c r="B351" i="18"/>
  <c r="C351" i="18"/>
  <c r="D351" i="18"/>
  <c r="E351" i="18"/>
  <c r="F351" i="18"/>
  <c r="G351" i="18"/>
  <c r="H351" i="18"/>
  <c r="I351" i="18"/>
  <c r="J351" i="18"/>
  <c r="K351" i="18"/>
  <c r="L351" i="18"/>
  <c r="A352" i="18"/>
  <c r="B352" i="18"/>
  <c r="I352" i="18" s="1"/>
  <c r="C352" i="18"/>
  <c r="L352" i="18" s="1"/>
  <c r="D352" i="18"/>
  <c r="E352" i="18"/>
  <c r="F352" i="18"/>
  <c r="G352" i="18"/>
  <c r="H352" i="18"/>
  <c r="J352" i="18"/>
  <c r="K352" i="18"/>
  <c r="A353" i="18"/>
  <c r="B353" i="18"/>
  <c r="C353" i="18"/>
  <c r="D353" i="18"/>
  <c r="E353" i="18"/>
  <c r="F353" i="18"/>
  <c r="G353" i="18"/>
  <c r="H353" i="18"/>
  <c r="I353" i="18"/>
  <c r="J353" i="18"/>
  <c r="K353" i="18"/>
  <c r="L353" i="18"/>
  <c r="A354" i="18"/>
  <c r="B354" i="18"/>
  <c r="C354" i="18"/>
  <c r="L354" i="18" s="1"/>
  <c r="D354" i="18"/>
  <c r="E354" i="18"/>
  <c r="F354" i="18"/>
  <c r="G354" i="18"/>
  <c r="H354" i="18"/>
  <c r="I354" i="18"/>
  <c r="J354" i="18"/>
  <c r="K354" i="18"/>
  <c r="A355" i="18"/>
  <c r="B355" i="18"/>
  <c r="C355" i="18"/>
  <c r="D355" i="18"/>
  <c r="E355" i="18"/>
  <c r="F355" i="18"/>
  <c r="G355" i="18"/>
  <c r="H355" i="18"/>
  <c r="I355" i="18"/>
  <c r="J355" i="18"/>
  <c r="K355" i="18"/>
  <c r="L355" i="18"/>
  <c r="A356" i="18"/>
  <c r="B356" i="18"/>
  <c r="C356" i="18"/>
  <c r="L356" i="18" s="1"/>
  <c r="D356" i="18"/>
  <c r="E356" i="18"/>
  <c r="F356" i="18"/>
  <c r="G356" i="18"/>
  <c r="H356" i="18"/>
  <c r="I356" i="18"/>
  <c r="J356" i="18"/>
  <c r="K356" i="18"/>
  <c r="A357" i="18"/>
  <c r="B357" i="18"/>
  <c r="C357" i="18"/>
  <c r="D357" i="18"/>
  <c r="E357" i="18"/>
  <c r="F357" i="18"/>
  <c r="G357" i="18"/>
  <c r="H357" i="18"/>
  <c r="I357" i="18"/>
  <c r="J357" i="18"/>
  <c r="K357" i="18"/>
  <c r="L357" i="18"/>
  <c r="A358" i="18"/>
  <c r="B358" i="18"/>
  <c r="C358" i="18"/>
  <c r="L358" i="18" s="1"/>
  <c r="D358" i="18"/>
  <c r="E358" i="18"/>
  <c r="F358" i="18"/>
  <c r="G358" i="18"/>
  <c r="H358" i="18"/>
  <c r="I358" i="18"/>
  <c r="J358" i="18"/>
  <c r="K358" i="18"/>
  <c r="A359" i="18"/>
  <c r="B359" i="18"/>
  <c r="C359" i="18"/>
  <c r="D359" i="18"/>
  <c r="E359" i="18"/>
  <c r="F359" i="18"/>
  <c r="G359" i="18"/>
  <c r="H359" i="18"/>
  <c r="I359" i="18"/>
  <c r="J359" i="18"/>
  <c r="K359" i="18"/>
  <c r="L359" i="18"/>
  <c r="A360" i="18"/>
  <c r="B360" i="18"/>
  <c r="I360" i="18" s="1"/>
  <c r="C360" i="18"/>
  <c r="L360" i="18" s="1"/>
  <c r="D360" i="18"/>
  <c r="E360" i="18"/>
  <c r="F360" i="18"/>
  <c r="G360" i="18"/>
  <c r="H360" i="18"/>
  <c r="J360" i="18"/>
  <c r="K360" i="18"/>
  <c r="A361" i="18"/>
  <c r="B361" i="18"/>
  <c r="C361" i="18"/>
  <c r="D361" i="18"/>
  <c r="E361" i="18"/>
  <c r="F361" i="18"/>
  <c r="G361" i="18"/>
  <c r="H361" i="18"/>
  <c r="I361" i="18"/>
  <c r="J361" i="18"/>
  <c r="K361" i="18"/>
  <c r="L361" i="18"/>
  <c r="A362" i="18"/>
  <c r="B362" i="18"/>
  <c r="C362" i="18"/>
  <c r="L362" i="18" s="1"/>
  <c r="D362" i="18"/>
  <c r="E362" i="18"/>
  <c r="F362" i="18"/>
  <c r="G362" i="18"/>
  <c r="H362" i="18"/>
  <c r="I362" i="18"/>
  <c r="J362" i="18"/>
  <c r="K362" i="18"/>
  <c r="A363" i="18"/>
  <c r="B363" i="18"/>
  <c r="C363" i="18"/>
  <c r="D363" i="18"/>
  <c r="E363" i="18"/>
  <c r="F363" i="18"/>
  <c r="G363" i="18"/>
  <c r="H363" i="18"/>
  <c r="I363" i="18"/>
  <c r="J363" i="18"/>
  <c r="K363" i="18"/>
  <c r="L363" i="18"/>
  <c r="A364" i="18"/>
  <c r="B364" i="18"/>
  <c r="C364" i="18"/>
  <c r="L364" i="18" s="1"/>
  <c r="D364" i="18"/>
  <c r="E364" i="18"/>
  <c r="F364" i="18"/>
  <c r="G364" i="18"/>
  <c r="H364" i="18"/>
  <c r="I364" i="18"/>
  <c r="J364" i="18"/>
  <c r="K364" i="18"/>
  <c r="A365" i="18"/>
  <c r="B365" i="18"/>
  <c r="C365" i="18"/>
  <c r="D365" i="18"/>
  <c r="E365" i="18"/>
  <c r="F365" i="18"/>
  <c r="G365" i="18"/>
  <c r="H365" i="18"/>
  <c r="I365" i="18"/>
  <c r="J365" i="18"/>
  <c r="K365" i="18"/>
  <c r="L365" i="18"/>
  <c r="A366" i="18"/>
  <c r="B366" i="18"/>
  <c r="I366" i="18" s="1"/>
  <c r="C366" i="18"/>
  <c r="L366" i="18" s="1"/>
  <c r="D366" i="18"/>
  <c r="E366" i="18"/>
  <c r="F366" i="18"/>
  <c r="G366" i="18"/>
  <c r="H366" i="18"/>
  <c r="J366" i="18"/>
  <c r="K366" i="18"/>
  <c r="A367" i="18"/>
  <c r="B367" i="18"/>
  <c r="C367" i="18"/>
  <c r="D367" i="18"/>
  <c r="E367" i="18"/>
  <c r="F367" i="18"/>
  <c r="G367" i="18"/>
  <c r="H367" i="18"/>
  <c r="I367" i="18"/>
  <c r="J367" i="18"/>
  <c r="K367" i="18"/>
  <c r="L367" i="18"/>
  <c r="A368" i="18"/>
  <c r="B368" i="18"/>
  <c r="I368" i="18" s="1"/>
  <c r="C368" i="18"/>
  <c r="L368" i="18" s="1"/>
  <c r="D368" i="18"/>
  <c r="E368" i="18"/>
  <c r="F368" i="18"/>
  <c r="G368" i="18"/>
  <c r="H368" i="18"/>
  <c r="J368" i="18"/>
  <c r="K368" i="18"/>
  <c r="A369" i="18"/>
  <c r="B369" i="18"/>
  <c r="C369" i="18"/>
  <c r="D369" i="18"/>
  <c r="E369" i="18"/>
  <c r="F369" i="18"/>
  <c r="G369" i="18"/>
  <c r="H369" i="18"/>
  <c r="I369" i="18"/>
  <c r="J369" i="18"/>
  <c r="K369" i="18"/>
  <c r="L369" i="18"/>
  <c r="A370" i="18"/>
  <c r="B370" i="18"/>
  <c r="C370" i="18"/>
  <c r="L370" i="18" s="1"/>
  <c r="D370" i="18"/>
  <c r="E370" i="18"/>
  <c r="F370" i="18"/>
  <c r="G370" i="18"/>
  <c r="H370" i="18"/>
  <c r="I370" i="18"/>
  <c r="J370" i="18"/>
  <c r="K370" i="18"/>
  <c r="A371" i="18"/>
  <c r="B371" i="18"/>
  <c r="C371" i="18"/>
  <c r="D371" i="18"/>
  <c r="E371" i="18"/>
  <c r="F371" i="18"/>
  <c r="G371" i="18"/>
  <c r="H371" i="18"/>
  <c r="I371" i="18"/>
  <c r="J371" i="18"/>
  <c r="K371" i="18"/>
  <c r="L371" i="18"/>
  <c r="A372" i="18"/>
  <c r="B372" i="18"/>
  <c r="C372" i="18"/>
  <c r="L372" i="18" s="1"/>
  <c r="D372" i="18"/>
  <c r="E372" i="18"/>
  <c r="F372" i="18"/>
  <c r="G372" i="18"/>
  <c r="H372" i="18"/>
  <c r="I372" i="18"/>
  <c r="J372" i="18"/>
  <c r="K372" i="18"/>
  <c r="A373" i="18"/>
  <c r="B373" i="18"/>
  <c r="C373" i="18"/>
  <c r="D373" i="18"/>
  <c r="E373" i="18"/>
  <c r="F373" i="18"/>
  <c r="G373" i="18"/>
  <c r="H373" i="18"/>
  <c r="I373" i="18"/>
  <c r="J373" i="18"/>
  <c r="K373" i="18"/>
  <c r="L373" i="18"/>
  <c r="A374" i="18"/>
  <c r="B374" i="18"/>
  <c r="C374" i="18"/>
  <c r="L374" i="18" s="1"/>
  <c r="D374" i="18"/>
  <c r="E374" i="18"/>
  <c r="F374" i="18"/>
  <c r="G374" i="18"/>
  <c r="H374" i="18"/>
  <c r="I374" i="18"/>
  <c r="J374" i="18"/>
  <c r="K374" i="18"/>
  <c r="A375" i="18"/>
  <c r="B375" i="18"/>
  <c r="C375" i="18"/>
  <c r="D375" i="18"/>
  <c r="E375" i="18"/>
  <c r="F375" i="18"/>
  <c r="G375" i="18"/>
  <c r="H375" i="18"/>
  <c r="I375" i="18"/>
  <c r="J375" i="18"/>
  <c r="K375" i="18"/>
  <c r="L375" i="18"/>
  <c r="A376" i="18"/>
  <c r="B376" i="18"/>
  <c r="I376" i="18" s="1"/>
  <c r="C376" i="18"/>
  <c r="L376" i="18" s="1"/>
  <c r="D376" i="18"/>
  <c r="E376" i="18"/>
  <c r="F376" i="18"/>
  <c r="G376" i="18"/>
  <c r="H376" i="18"/>
  <c r="J376" i="18"/>
  <c r="K376" i="18"/>
  <c r="A377" i="18"/>
  <c r="B377" i="18"/>
  <c r="C377" i="18"/>
  <c r="D377" i="18"/>
  <c r="E377" i="18"/>
  <c r="F377" i="18"/>
  <c r="G377" i="18"/>
  <c r="H377" i="18"/>
  <c r="I377" i="18"/>
  <c r="J377" i="18"/>
  <c r="K377" i="18"/>
  <c r="L377" i="18"/>
  <c r="A378" i="18"/>
  <c r="B378" i="18"/>
  <c r="C378" i="18"/>
  <c r="L378" i="18" s="1"/>
  <c r="D378" i="18"/>
  <c r="E378" i="18"/>
  <c r="F378" i="18"/>
  <c r="G378" i="18"/>
  <c r="H378" i="18"/>
  <c r="I378" i="18"/>
  <c r="J378" i="18"/>
  <c r="K378" i="18"/>
  <c r="A379" i="18"/>
  <c r="B379" i="18"/>
  <c r="C379" i="18"/>
  <c r="D379" i="18"/>
  <c r="E379" i="18"/>
  <c r="F379" i="18"/>
  <c r="G379" i="18"/>
  <c r="H379" i="18"/>
  <c r="I379" i="18"/>
  <c r="J379" i="18"/>
  <c r="K379" i="18"/>
  <c r="L379" i="18"/>
  <c r="A380" i="18"/>
  <c r="B380" i="18"/>
  <c r="C380" i="18"/>
  <c r="L380" i="18" s="1"/>
  <c r="D380" i="18"/>
  <c r="E380" i="18"/>
  <c r="F380" i="18"/>
  <c r="G380" i="18"/>
  <c r="H380" i="18"/>
  <c r="I380" i="18"/>
  <c r="J380" i="18"/>
  <c r="K380" i="18"/>
  <c r="A381" i="18"/>
  <c r="B381" i="18"/>
  <c r="C381" i="18"/>
  <c r="D381" i="18"/>
  <c r="E381" i="18"/>
  <c r="F381" i="18"/>
  <c r="G381" i="18"/>
  <c r="H381" i="18"/>
  <c r="I381" i="18"/>
  <c r="J381" i="18"/>
  <c r="K381" i="18"/>
  <c r="L381" i="18"/>
  <c r="A382" i="18"/>
  <c r="B382" i="18"/>
  <c r="I382" i="18" s="1"/>
  <c r="C382" i="18"/>
  <c r="L382" i="18" s="1"/>
  <c r="D382" i="18"/>
  <c r="E382" i="18"/>
  <c r="F382" i="18"/>
  <c r="G382" i="18"/>
  <c r="H382" i="18"/>
  <c r="J382" i="18"/>
  <c r="K382" i="18"/>
  <c r="A383" i="18"/>
  <c r="B383" i="18"/>
  <c r="C383" i="18"/>
  <c r="D383" i="18"/>
  <c r="E383" i="18"/>
  <c r="F383" i="18"/>
  <c r="G383" i="18"/>
  <c r="H383" i="18"/>
  <c r="I383" i="18"/>
  <c r="J383" i="18"/>
  <c r="K383" i="18"/>
  <c r="L383" i="18"/>
  <c r="A384" i="18"/>
  <c r="B384" i="18"/>
  <c r="I384" i="18" s="1"/>
  <c r="C384" i="18"/>
  <c r="L384" i="18" s="1"/>
  <c r="D384" i="18"/>
  <c r="E384" i="18"/>
  <c r="F384" i="18"/>
  <c r="G384" i="18"/>
  <c r="H384" i="18"/>
  <c r="J384" i="18"/>
  <c r="K384" i="18"/>
  <c r="A385" i="18"/>
  <c r="B385" i="18"/>
  <c r="C385" i="18"/>
  <c r="D385" i="18"/>
  <c r="E385" i="18"/>
  <c r="F385" i="18"/>
  <c r="G385" i="18"/>
  <c r="H385" i="18"/>
  <c r="I385" i="18"/>
  <c r="J385" i="18"/>
  <c r="K385" i="18"/>
  <c r="L385" i="18"/>
  <c r="A386" i="18"/>
  <c r="B386" i="18"/>
  <c r="C386" i="18"/>
  <c r="L386" i="18" s="1"/>
  <c r="D386" i="18"/>
  <c r="E386" i="18"/>
  <c r="F386" i="18"/>
  <c r="G386" i="18"/>
  <c r="H386" i="18"/>
  <c r="I386" i="18"/>
  <c r="J386" i="18"/>
  <c r="K386" i="18"/>
  <c r="A387" i="18"/>
  <c r="B387" i="18"/>
  <c r="C387" i="18"/>
  <c r="D387" i="18"/>
  <c r="E387" i="18"/>
  <c r="F387" i="18"/>
  <c r="G387" i="18"/>
  <c r="H387" i="18"/>
  <c r="I387" i="18"/>
  <c r="J387" i="18"/>
  <c r="K387" i="18"/>
  <c r="L387" i="18"/>
  <c r="A388" i="18"/>
  <c r="B388" i="18"/>
  <c r="C388" i="18"/>
  <c r="L388" i="18" s="1"/>
  <c r="D388" i="18"/>
  <c r="E388" i="18"/>
  <c r="F388" i="18"/>
  <c r="G388" i="18"/>
  <c r="H388" i="18"/>
  <c r="I388" i="18"/>
  <c r="J388" i="18"/>
  <c r="K388" i="18"/>
  <c r="A389" i="18"/>
  <c r="B389" i="18"/>
  <c r="C389" i="18"/>
  <c r="D389" i="18"/>
  <c r="E389" i="18"/>
  <c r="F389" i="18"/>
  <c r="G389" i="18"/>
  <c r="H389" i="18"/>
  <c r="I389" i="18"/>
  <c r="J389" i="18"/>
  <c r="K389" i="18"/>
  <c r="L389" i="18"/>
  <c r="A390" i="18"/>
  <c r="B390" i="18"/>
  <c r="C390" i="18"/>
  <c r="L390" i="18" s="1"/>
  <c r="D390" i="18"/>
  <c r="E390" i="18"/>
  <c r="F390" i="18"/>
  <c r="G390" i="18"/>
  <c r="H390" i="18"/>
  <c r="I390" i="18"/>
  <c r="J390" i="18"/>
  <c r="K390" i="18"/>
  <c r="A391" i="18"/>
  <c r="B391" i="18"/>
  <c r="C391" i="18"/>
  <c r="D391" i="18"/>
  <c r="E391" i="18"/>
  <c r="F391" i="18"/>
  <c r="G391" i="18"/>
  <c r="H391" i="18"/>
  <c r="I391" i="18"/>
  <c r="J391" i="18"/>
  <c r="K391" i="18"/>
  <c r="L391" i="18"/>
  <c r="A392" i="18"/>
  <c r="B392" i="18"/>
  <c r="I392" i="18" s="1"/>
  <c r="C392" i="18"/>
  <c r="L392" i="18" s="1"/>
  <c r="D392" i="18"/>
  <c r="E392" i="18"/>
  <c r="F392" i="18"/>
  <c r="G392" i="18"/>
  <c r="H392" i="18"/>
  <c r="J392" i="18"/>
  <c r="K392" i="18"/>
  <c r="A393" i="18"/>
  <c r="B393" i="18"/>
  <c r="C393" i="18"/>
  <c r="D393" i="18"/>
  <c r="E393" i="18"/>
  <c r="F393" i="18"/>
  <c r="G393" i="18"/>
  <c r="H393" i="18"/>
  <c r="I393" i="18"/>
  <c r="J393" i="18"/>
  <c r="K393" i="18"/>
  <c r="L393" i="18"/>
  <c r="A394" i="18"/>
  <c r="B394" i="18"/>
  <c r="C394" i="18"/>
  <c r="L394" i="18" s="1"/>
  <c r="D394" i="18"/>
  <c r="E394" i="18"/>
  <c r="F394" i="18"/>
  <c r="G394" i="18"/>
  <c r="H394" i="18"/>
  <c r="I394" i="18"/>
  <c r="J394" i="18"/>
  <c r="K394" i="18"/>
  <c r="A395" i="18"/>
  <c r="B395" i="18"/>
  <c r="C395" i="18"/>
  <c r="D395" i="18"/>
  <c r="E395" i="18"/>
  <c r="F395" i="18"/>
  <c r="G395" i="18"/>
  <c r="H395" i="18"/>
  <c r="I395" i="18"/>
  <c r="J395" i="18"/>
  <c r="K395" i="18"/>
  <c r="L395" i="18"/>
  <c r="A396" i="18"/>
  <c r="B396" i="18"/>
  <c r="C396" i="18"/>
  <c r="L396" i="18" s="1"/>
  <c r="D396" i="18"/>
  <c r="E396" i="18"/>
  <c r="F396" i="18"/>
  <c r="G396" i="18"/>
  <c r="H396" i="18"/>
  <c r="I396" i="18"/>
  <c r="J396" i="18"/>
  <c r="K396" i="18"/>
  <c r="A397" i="18"/>
  <c r="B397" i="18"/>
  <c r="C397" i="18"/>
  <c r="D397" i="18"/>
  <c r="E397" i="18"/>
  <c r="F397" i="18"/>
  <c r="G397" i="18"/>
  <c r="H397" i="18"/>
  <c r="I397" i="18"/>
  <c r="J397" i="18"/>
  <c r="K397" i="18"/>
  <c r="L397" i="18"/>
  <c r="A398" i="18"/>
  <c r="B398" i="18"/>
  <c r="I398" i="18" s="1"/>
  <c r="C398" i="18"/>
  <c r="L398" i="18" s="1"/>
  <c r="D398" i="18"/>
  <c r="E398" i="18"/>
  <c r="F398" i="18"/>
  <c r="G398" i="18"/>
  <c r="H398" i="18"/>
  <c r="J398" i="18"/>
  <c r="K398" i="18"/>
  <c r="A399" i="18"/>
  <c r="B399" i="18"/>
  <c r="C399" i="18"/>
  <c r="L399" i="18" s="1"/>
  <c r="D399" i="18"/>
  <c r="E399" i="18"/>
  <c r="F399" i="18"/>
  <c r="G399" i="18"/>
  <c r="H399" i="18"/>
  <c r="I399" i="18"/>
  <c r="J399" i="18"/>
  <c r="K399" i="18"/>
  <c r="A400" i="18"/>
  <c r="B400" i="18"/>
  <c r="I400" i="18" s="1"/>
  <c r="C400" i="18"/>
  <c r="L400" i="18" s="1"/>
  <c r="D400" i="18"/>
  <c r="E400" i="18"/>
  <c r="F400" i="18"/>
  <c r="G400" i="18"/>
  <c r="H400" i="18"/>
  <c r="J400" i="18"/>
  <c r="K400" i="18"/>
  <c r="A401" i="18"/>
  <c r="B401" i="18"/>
  <c r="C401" i="18"/>
  <c r="L401" i="18" s="1"/>
  <c r="D401" i="18"/>
  <c r="E401" i="18"/>
  <c r="F401" i="18"/>
  <c r="G401" i="18"/>
  <c r="H401" i="18"/>
  <c r="I401" i="18"/>
  <c r="J401" i="18"/>
  <c r="K401" i="18"/>
  <c r="A402" i="18"/>
  <c r="B402" i="18"/>
  <c r="C402" i="18"/>
  <c r="L402" i="18" s="1"/>
  <c r="D402" i="18"/>
  <c r="E402" i="18"/>
  <c r="F402" i="18"/>
  <c r="G402" i="18"/>
  <c r="H402" i="18"/>
  <c r="I402" i="18"/>
  <c r="J402" i="18"/>
  <c r="K402" i="18"/>
  <c r="A403" i="18"/>
  <c r="B403" i="18"/>
  <c r="C403" i="18"/>
  <c r="D403" i="18"/>
  <c r="E403" i="18"/>
  <c r="F403" i="18"/>
  <c r="G403" i="18"/>
  <c r="H403" i="18"/>
  <c r="I403" i="18"/>
  <c r="J403" i="18"/>
  <c r="K403" i="18"/>
  <c r="L403" i="18"/>
  <c r="A404" i="18"/>
  <c r="B404" i="18"/>
  <c r="C404" i="18"/>
  <c r="L404" i="18" s="1"/>
  <c r="D404" i="18"/>
  <c r="E404" i="18"/>
  <c r="F404" i="18"/>
  <c r="G404" i="18"/>
  <c r="H404" i="18"/>
  <c r="I404" i="18"/>
  <c r="J404" i="18"/>
  <c r="K404" i="18"/>
  <c r="A405" i="18"/>
  <c r="B405" i="18"/>
  <c r="C405" i="18"/>
  <c r="L405" i="18" s="1"/>
  <c r="D405" i="18"/>
  <c r="E405" i="18"/>
  <c r="F405" i="18"/>
  <c r="G405" i="18"/>
  <c r="H405" i="18"/>
  <c r="I405" i="18"/>
  <c r="J405" i="18"/>
  <c r="K405" i="18"/>
  <c r="A406" i="18"/>
  <c r="B406" i="18"/>
  <c r="C406" i="18"/>
  <c r="L406" i="18" s="1"/>
  <c r="D406" i="18"/>
  <c r="E406" i="18"/>
  <c r="F406" i="18"/>
  <c r="G406" i="18"/>
  <c r="H406" i="18"/>
  <c r="I406" i="18"/>
  <c r="J406" i="18"/>
  <c r="K406" i="18"/>
  <c r="A407" i="18"/>
  <c r="B407" i="18"/>
  <c r="C407" i="18"/>
  <c r="L407" i="18" s="1"/>
  <c r="D407" i="18"/>
  <c r="E407" i="18"/>
  <c r="F407" i="18"/>
  <c r="G407" i="18"/>
  <c r="H407" i="18"/>
  <c r="I407" i="18"/>
  <c r="J407" i="18"/>
  <c r="K407" i="18"/>
  <c r="A408" i="18"/>
  <c r="B408" i="18"/>
  <c r="I408" i="18" s="1"/>
  <c r="C408" i="18"/>
  <c r="L408" i="18" s="1"/>
  <c r="D408" i="18"/>
  <c r="E408" i="18"/>
  <c r="F408" i="18"/>
  <c r="G408" i="18"/>
  <c r="H408" i="18"/>
  <c r="J408" i="18"/>
  <c r="K408" i="18"/>
  <c r="A409" i="18"/>
  <c r="B409" i="18"/>
  <c r="C409" i="18"/>
  <c r="D409" i="18"/>
  <c r="E409" i="18"/>
  <c r="F409" i="18"/>
  <c r="G409" i="18"/>
  <c r="H409" i="18"/>
  <c r="I409" i="18"/>
  <c r="J409" i="18"/>
  <c r="K409" i="18"/>
  <c r="L409" i="18"/>
  <c r="A410" i="18"/>
  <c r="B410" i="18"/>
  <c r="C410" i="18"/>
  <c r="L410" i="18" s="1"/>
  <c r="D410" i="18"/>
  <c r="E410" i="18"/>
  <c r="F410" i="18"/>
  <c r="G410" i="18"/>
  <c r="H410" i="18"/>
  <c r="I410" i="18"/>
  <c r="J410" i="18"/>
  <c r="K410" i="18"/>
  <c r="A411" i="18"/>
  <c r="B411" i="18"/>
  <c r="C411" i="18"/>
  <c r="D411" i="18"/>
  <c r="E411" i="18"/>
  <c r="F411" i="18"/>
  <c r="G411" i="18"/>
  <c r="H411" i="18"/>
  <c r="I411" i="18"/>
  <c r="J411" i="18"/>
  <c r="K411" i="18"/>
  <c r="L411" i="18"/>
  <c r="A412" i="18"/>
  <c r="B412" i="18"/>
  <c r="C412" i="18"/>
  <c r="L412" i="18" s="1"/>
  <c r="D412" i="18"/>
  <c r="E412" i="18"/>
  <c r="F412" i="18"/>
  <c r="G412" i="18"/>
  <c r="H412" i="18"/>
  <c r="I412" i="18"/>
  <c r="J412" i="18"/>
  <c r="K412" i="18"/>
  <c r="A413" i="18"/>
  <c r="B413" i="18"/>
  <c r="C413" i="18"/>
  <c r="L413" i="18" s="1"/>
  <c r="D413" i="18"/>
  <c r="E413" i="18"/>
  <c r="F413" i="18"/>
  <c r="G413" i="18"/>
  <c r="H413" i="18"/>
  <c r="I413" i="18"/>
  <c r="J413" i="18"/>
  <c r="K413" i="18"/>
  <c r="A414" i="18"/>
  <c r="B414" i="18"/>
  <c r="I414" i="18" s="1"/>
  <c r="C414" i="18"/>
  <c r="L414" i="18" s="1"/>
  <c r="D414" i="18"/>
  <c r="E414" i="18"/>
  <c r="F414" i="18"/>
  <c r="G414" i="18"/>
  <c r="H414" i="18"/>
  <c r="J414" i="18"/>
  <c r="K414" i="18"/>
  <c r="A415" i="18"/>
  <c r="B415" i="18"/>
  <c r="I415" i="18" s="1"/>
  <c r="C415" i="18"/>
  <c r="L415" i="18" s="1"/>
  <c r="D415" i="18"/>
  <c r="E415" i="18"/>
  <c r="F415" i="18"/>
  <c r="G415" i="18"/>
  <c r="H415" i="18"/>
  <c r="J415" i="18"/>
  <c r="K415" i="18"/>
  <c r="A416" i="18"/>
  <c r="B416" i="18"/>
  <c r="I416" i="18" s="1"/>
  <c r="C416" i="18"/>
  <c r="L416" i="18" s="1"/>
  <c r="D416" i="18"/>
  <c r="E416" i="18"/>
  <c r="F416" i="18"/>
  <c r="G416" i="18"/>
  <c r="H416" i="18"/>
  <c r="J416" i="18"/>
  <c r="K416" i="18"/>
  <c r="A417" i="18"/>
  <c r="B417" i="18"/>
  <c r="C417" i="18"/>
  <c r="L417" i="18" s="1"/>
  <c r="D417" i="18"/>
  <c r="E417" i="18"/>
  <c r="F417" i="18"/>
  <c r="G417" i="18"/>
  <c r="H417" i="18"/>
  <c r="I417" i="18"/>
  <c r="J417" i="18"/>
  <c r="K417" i="18"/>
  <c r="A418" i="18"/>
  <c r="B418" i="18"/>
  <c r="C418" i="18"/>
  <c r="L418" i="18" s="1"/>
  <c r="D418" i="18"/>
  <c r="E418" i="18"/>
  <c r="F418" i="18"/>
  <c r="G418" i="18"/>
  <c r="H418" i="18"/>
  <c r="I418" i="18"/>
  <c r="J418" i="18"/>
  <c r="K418" i="18"/>
  <c r="A419" i="18"/>
  <c r="B419" i="18"/>
  <c r="C419" i="18"/>
  <c r="D419" i="18"/>
  <c r="E419" i="18"/>
  <c r="F419" i="18"/>
  <c r="G419" i="18"/>
  <c r="H419" i="18"/>
  <c r="I419" i="18"/>
  <c r="J419" i="18"/>
  <c r="K419" i="18"/>
  <c r="L419" i="18"/>
  <c r="A420" i="18"/>
  <c r="B420" i="18"/>
  <c r="C420" i="18"/>
  <c r="L420" i="18" s="1"/>
  <c r="D420" i="18"/>
  <c r="E420" i="18"/>
  <c r="F420" i="18"/>
  <c r="G420" i="18"/>
  <c r="H420" i="18"/>
  <c r="I420" i="18"/>
  <c r="J420" i="18"/>
  <c r="K420" i="18"/>
  <c r="A421" i="18"/>
  <c r="B421" i="18"/>
  <c r="I421" i="18" s="1"/>
  <c r="C421" i="18"/>
  <c r="L421" i="18" s="1"/>
  <c r="D421" i="18"/>
  <c r="E421" i="18"/>
  <c r="F421" i="18"/>
  <c r="G421" i="18"/>
  <c r="H421" i="18"/>
  <c r="J421" i="18"/>
  <c r="K421" i="18"/>
  <c r="A422" i="18"/>
  <c r="B422" i="18"/>
  <c r="C422" i="18"/>
  <c r="L422" i="18" s="1"/>
  <c r="D422" i="18"/>
  <c r="E422" i="18"/>
  <c r="F422" i="18"/>
  <c r="G422" i="18"/>
  <c r="H422" i="18"/>
  <c r="I422" i="18"/>
  <c r="J422" i="18"/>
  <c r="K422" i="18"/>
  <c r="A423" i="18"/>
  <c r="B423" i="18"/>
  <c r="I423" i="18" s="1"/>
  <c r="C423" i="18"/>
  <c r="L423" i="18" s="1"/>
  <c r="D423" i="18"/>
  <c r="E423" i="18"/>
  <c r="F423" i="18"/>
  <c r="G423" i="18"/>
  <c r="H423" i="18"/>
  <c r="J423" i="18"/>
  <c r="K423" i="18"/>
  <c r="A424" i="18"/>
  <c r="B424" i="18"/>
  <c r="I424" i="18" s="1"/>
  <c r="C424" i="18"/>
  <c r="L424" i="18" s="1"/>
  <c r="D424" i="18"/>
  <c r="E424" i="18"/>
  <c r="F424" i="18"/>
  <c r="G424" i="18"/>
  <c r="H424" i="18"/>
  <c r="J424" i="18"/>
  <c r="K424" i="18"/>
  <c r="A425" i="18"/>
  <c r="B425" i="18"/>
  <c r="C425" i="18"/>
  <c r="D425" i="18"/>
  <c r="E425" i="18"/>
  <c r="F425" i="18"/>
  <c r="G425" i="18"/>
  <c r="H425" i="18"/>
  <c r="I425" i="18"/>
  <c r="J425" i="18"/>
  <c r="K425" i="18"/>
  <c r="L425" i="18"/>
  <c r="A426" i="18"/>
  <c r="B426" i="18"/>
  <c r="C426" i="18"/>
  <c r="L426" i="18" s="1"/>
  <c r="D426" i="18"/>
  <c r="E426" i="18"/>
  <c r="F426" i="18"/>
  <c r="G426" i="18"/>
  <c r="H426" i="18"/>
  <c r="I426" i="18"/>
  <c r="J426" i="18"/>
  <c r="K426" i="18"/>
  <c r="A427" i="18"/>
  <c r="B427" i="18"/>
  <c r="C427" i="18"/>
  <c r="D427" i="18"/>
  <c r="E427" i="18"/>
  <c r="F427" i="18"/>
  <c r="G427" i="18"/>
  <c r="H427" i="18"/>
  <c r="I427" i="18"/>
  <c r="J427" i="18"/>
  <c r="K427" i="18"/>
  <c r="L427" i="18"/>
  <c r="A428" i="18"/>
  <c r="B428" i="18"/>
  <c r="C428" i="18"/>
  <c r="L428" i="18" s="1"/>
  <c r="D428" i="18"/>
  <c r="E428" i="18"/>
  <c r="F428" i="18"/>
  <c r="G428" i="18"/>
  <c r="H428" i="18"/>
  <c r="I428" i="18"/>
  <c r="J428" i="18"/>
  <c r="K428" i="18"/>
  <c r="A429" i="18"/>
  <c r="B429" i="18"/>
  <c r="C429" i="18"/>
  <c r="L429" i="18" s="1"/>
  <c r="D429" i="18"/>
  <c r="E429" i="18"/>
  <c r="F429" i="18"/>
  <c r="G429" i="18"/>
  <c r="H429" i="18"/>
  <c r="I429" i="18"/>
  <c r="J429" i="18"/>
  <c r="K429" i="18"/>
  <c r="A430" i="18"/>
  <c r="B430" i="18"/>
  <c r="I430" i="18" s="1"/>
  <c r="C430" i="18"/>
  <c r="L430" i="18" s="1"/>
  <c r="D430" i="18"/>
  <c r="E430" i="18"/>
  <c r="F430" i="18"/>
  <c r="G430" i="18"/>
  <c r="H430" i="18"/>
  <c r="J430" i="18"/>
  <c r="K430" i="18"/>
  <c r="A431" i="18"/>
  <c r="B431" i="18"/>
  <c r="I431" i="18" s="1"/>
  <c r="C431" i="18"/>
  <c r="L431" i="18" s="1"/>
  <c r="D431" i="18"/>
  <c r="E431" i="18"/>
  <c r="F431" i="18"/>
  <c r="G431" i="18"/>
  <c r="H431" i="18"/>
  <c r="J431" i="18"/>
  <c r="K431" i="18"/>
  <c r="A432" i="18"/>
  <c r="B432" i="18"/>
  <c r="I432" i="18" s="1"/>
  <c r="C432" i="18"/>
  <c r="L432" i="18" s="1"/>
  <c r="D432" i="18"/>
  <c r="E432" i="18"/>
  <c r="F432" i="18"/>
  <c r="G432" i="18"/>
  <c r="H432" i="18"/>
  <c r="J432" i="18"/>
  <c r="K432" i="18"/>
  <c r="A433" i="18"/>
  <c r="B433" i="18"/>
  <c r="C433" i="18"/>
  <c r="L433" i="18" s="1"/>
  <c r="D433" i="18"/>
  <c r="E433" i="18"/>
  <c r="F433" i="18"/>
  <c r="G433" i="18"/>
  <c r="H433" i="18"/>
  <c r="I433" i="18"/>
  <c r="J433" i="18"/>
  <c r="K433" i="18"/>
  <c r="A434" i="18"/>
  <c r="B434" i="18"/>
  <c r="C434" i="18"/>
  <c r="L434" i="18" s="1"/>
  <c r="D434" i="18"/>
  <c r="E434" i="18"/>
  <c r="F434" i="18"/>
  <c r="G434" i="18"/>
  <c r="H434" i="18"/>
  <c r="I434" i="18"/>
  <c r="J434" i="18"/>
  <c r="K434" i="18"/>
  <c r="A435" i="18"/>
  <c r="B435" i="18"/>
  <c r="C435" i="18"/>
  <c r="D435" i="18"/>
  <c r="E435" i="18"/>
  <c r="F435" i="18"/>
  <c r="G435" i="18"/>
  <c r="H435" i="18"/>
  <c r="I435" i="18"/>
  <c r="J435" i="18"/>
  <c r="K435" i="18"/>
  <c r="L435" i="18"/>
  <c r="A436" i="18"/>
  <c r="B436" i="18"/>
  <c r="C436" i="18"/>
  <c r="L436" i="18" s="1"/>
  <c r="D436" i="18"/>
  <c r="E436" i="18"/>
  <c r="F436" i="18"/>
  <c r="G436" i="18"/>
  <c r="H436" i="18"/>
  <c r="I436" i="18"/>
  <c r="J436" i="18"/>
  <c r="K436" i="18"/>
  <c r="A437" i="18"/>
  <c r="B437" i="18"/>
  <c r="I437" i="18" s="1"/>
  <c r="C437" i="18"/>
  <c r="L437" i="18" s="1"/>
  <c r="D437" i="18"/>
  <c r="E437" i="18"/>
  <c r="F437" i="18"/>
  <c r="G437" i="18"/>
  <c r="H437" i="18"/>
  <c r="J437" i="18"/>
  <c r="K437" i="18"/>
  <c r="A438" i="18"/>
  <c r="B438" i="18"/>
  <c r="C438" i="18"/>
  <c r="L438" i="18" s="1"/>
  <c r="D438" i="18"/>
  <c r="E438" i="18"/>
  <c r="F438" i="18"/>
  <c r="G438" i="18"/>
  <c r="H438" i="18"/>
  <c r="I438" i="18"/>
  <c r="J438" i="18"/>
  <c r="K438" i="18"/>
  <c r="A439" i="18"/>
  <c r="B439" i="18"/>
  <c r="I439" i="18" s="1"/>
  <c r="C439" i="18"/>
  <c r="L439" i="18" s="1"/>
  <c r="D439" i="18"/>
  <c r="E439" i="18"/>
  <c r="F439" i="18"/>
  <c r="G439" i="18"/>
  <c r="H439" i="18"/>
  <c r="J439" i="18"/>
  <c r="K439" i="18"/>
  <c r="A440" i="18"/>
  <c r="B440" i="18"/>
  <c r="I440" i="18" s="1"/>
  <c r="C440" i="18"/>
  <c r="L440" i="18" s="1"/>
  <c r="D440" i="18"/>
  <c r="E440" i="18"/>
  <c r="F440" i="18"/>
  <c r="G440" i="18"/>
  <c r="H440" i="18"/>
  <c r="J440" i="18"/>
  <c r="K440" i="18"/>
  <c r="A441" i="18"/>
  <c r="B441" i="18"/>
  <c r="C441" i="18"/>
  <c r="D441" i="18"/>
  <c r="E441" i="18"/>
  <c r="F441" i="18"/>
  <c r="G441" i="18"/>
  <c r="H441" i="18"/>
  <c r="I441" i="18"/>
  <c r="J441" i="18"/>
  <c r="K441" i="18"/>
  <c r="L441" i="18"/>
  <c r="A442" i="18"/>
  <c r="B442" i="18"/>
  <c r="C442" i="18"/>
  <c r="L442" i="18" s="1"/>
  <c r="D442" i="18"/>
  <c r="E442" i="18"/>
  <c r="F442" i="18"/>
  <c r="G442" i="18"/>
  <c r="H442" i="18"/>
  <c r="I442" i="18"/>
  <c r="J442" i="18"/>
  <c r="K442" i="18"/>
  <c r="A443" i="18"/>
  <c r="B443" i="18"/>
  <c r="C443" i="18"/>
  <c r="D443" i="18"/>
  <c r="E443" i="18"/>
  <c r="F443" i="18"/>
  <c r="G443" i="18"/>
  <c r="H443" i="18"/>
  <c r="I443" i="18"/>
  <c r="J443" i="18"/>
  <c r="K443" i="18"/>
  <c r="L443" i="18"/>
  <c r="A444" i="18"/>
  <c r="B444" i="18"/>
  <c r="C444" i="18"/>
  <c r="L444" i="18" s="1"/>
  <c r="D444" i="18"/>
  <c r="E444" i="18"/>
  <c r="F444" i="18"/>
  <c r="G444" i="18"/>
  <c r="H444" i="18"/>
  <c r="I444" i="18"/>
  <c r="J444" i="18"/>
  <c r="K444" i="18"/>
  <c r="A445" i="18"/>
  <c r="B445" i="18"/>
  <c r="C445" i="18"/>
  <c r="L445" i="18" s="1"/>
  <c r="D445" i="18"/>
  <c r="E445" i="18"/>
  <c r="F445" i="18"/>
  <c r="G445" i="18"/>
  <c r="H445" i="18"/>
  <c r="I445" i="18"/>
  <c r="J445" i="18"/>
  <c r="K445" i="18"/>
  <c r="A446" i="18"/>
  <c r="B446" i="18"/>
  <c r="I446" i="18" s="1"/>
  <c r="C446" i="18"/>
  <c r="L446" i="18" s="1"/>
  <c r="D446" i="18"/>
  <c r="E446" i="18"/>
  <c r="F446" i="18"/>
  <c r="G446" i="18"/>
  <c r="H446" i="18"/>
  <c r="J446" i="18"/>
  <c r="K446" i="18"/>
  <c r="A447" i="18"/>
  <c r="B447" i="18"/>
  <c r="I447" i="18" s="1"/>
  <c r="C447" i="18"/>
  <c r="L447" i="18" s="1"/>
  <c r="D447" i="18"/>
  <c r="E447" i="18"/>
  <c r="F447" i="18"/>
  <c r="G447" i="18"/>
  <c r="H447" i="18"/>
  <c r="J447" i="18"/>
  <c r="K447" i="18"/>
  <c r="A448" i="18"/>
  <c r="B448" i="18"/>
  <c r="I448" i="18" s="1"/>
  <c r="C448" i="18"/>
  <c r="L448" i="18" s="1"/>
  <c r="D448" i="18"/>
  <c r="E448" i="18"/>
  <c r="F448" i="18"/>
  <c r="G448" i="18"/>
  <c r="H448" i="18"/>
  <c r="J448" i="18"/>
  <c r="K448" i="18"/>
  <c r="A449" i="18"/>
  <c r="B449" i="18"/>
  <c r="C449" i="18"/>
  <c r="L449" i="18" s="1"/>
  <c r="D449" i="18"/>
  <c r="E449" i="18"/>
  <c r="F449" i="18"/>
  <c r="G449" i="18"/>
  <c r="H449" i="18"/>
  <c r="I449" i="18"/>
  <c r="J449" i="18"/>
  <c r="K449" i="18"/>
  <c r="A450" i="18"/>
  <c r="B450" i="18"/>
  <c r="C450" i="18"/>
  <c r="L450" i="18" s="1"/>
  <c r="D450" i="18"/>
  <c r="E450" i="18"/>
  <c r="F450" i="18"/>
  <c r="G450" i="18"/>
  <c r="H450" i="18"/>
  <c r="I450" i="18"/>
  <c r="J450" i="18"/>
  <c r="K450" i="18"/>
  <c r="A451" i="18"/>
  <c r="B451" i="18"/>
  <c r="C451" i="18"/>
  <c r="D451" i="18"/>
  <c r="E451" i="18"/>
  <c r="F451" i="18"/>
  <c r="G451" i="18"/>
  <c r="H451" i="18"/>
  <c r="I451" i="18"/>
  <c r="J451" i="18"/>
  <c r="K451" i="18"/>
  <c r="L451" i="18"/>
  <c r="A452" i="18"/>
  <c r="B452" i="18"/>
  <c r="C452" i="18"/>
  <c r="L452" i="18" s="1"/>
  <c r="D452" i="18"/>
  <c r="E452" i="18"/>
  <c r="F452" i="18"/>
  <c r="G452" i="18"/>
  <c r="H452" i="18"/>
  <c r="I452" i="18"/>
  <c r="J452" i="18"/>
  <c r="K452" i="18"/>
  <c r="A453" i="18"/>
  <c r="B453" i="18"/>
  <c r="I453" i="18" s="1"/>
  <c r="C453" i="18"/>
  <c r="L453" i="18" s="1"/>
  <c r="D453" i="18"/>
  <c r="E453" i="18"/>
  <c r="F453" i="18"/>
  <c r="G453" i="18"/>
  <c r="H453" i="18"/>
  <c r="J453" i="18"/>
  <c r="K453" i="18"/>
  <c r="A454" i="18"/>
  <c r="B454" i="18"/>
  <c r="C454" i="18"/>
  <c r="L454" i="18" s="1"/>
  <c r="D454" i="18"/>
  <c r="E454" i="18"/>
  <c r="F454" i="18"/>
  <c r="G454" i="18"/>
  <c r="H454" i="18"/>
  <c r="I454" i="18"/>
  <c r="J454" i="18"/>
  <c r="K454" i="18"/>
  <c r="A455" i="18"/>
  <c r="B455" i="18"/>
  <c r="I455" i="18" s="1"/>
  <c r="C455" i="18"/>
  <c r="L455" i="18" s="1"/>
  <c r="D455" i="18"/>
  <c r="E455" i="18"/>
  <c r="F455" i="18"/>
  <c r="G455" i="18"/>
  <c r="H455" i="18"/>
  <c r="J455" i="18"/>
  <c r="K455" i="18"/>
  <c r="A456" i="18"/>
  <c r="B456" i="18"/>
  <c r="I456" i="18" s="1"/>
  <c r="C456" i="18"/>
  <c r="L456" i="18" s="1"/>
  <c r="D456" i="18"/>
  <c r="E456" i="18"/>
  <c r="F456" i="18"/>
  <c r="G456" i="18"/>
  <c r="H456" i="18"/>
  <c r="J456" i="18"/>
  <c r="K456" i="18"/>
  <c r="A457" i="18"/>
  <c r="B457" i="18"/>
  <c r="C457" i="18"/>
  <c r="D457" i="18"/>
  <c r="E457" i="18"/>
  <c r="F457" i="18"/>
  <c r="G457" i="18"/>
  <c r="H457" i="18"/>
  <c r="I457" i="18"/>
  <c r="J457" i="18"/>
  <c r="K457" i="18"/>
  <c r="L457" i="18"/>
  <c r="A458" i="18"/>
  <c r="B458" i="18"/>
  <c r="C458" i="18"/>
  <c r="L458" i="18" s="1"/>
  <c r="D458" i="18"/>
  <c r="E458" i="18"/>
  <c r="F458" i="18"/>
  <c r="G458" i="18"/>
  <c r="H458" i="18"/>
  <c r="I458" i="18"/>
  <c r="J458" i="18"/>
  <c r="K458" i="18"/>
  <c r="A459" i="18"/>
  <c r="B459" i="18"/>
  <c r="C459" i="18"/>
  <c r="D459" i="18"/>
  <c r="E459" i="18"/>
  <c r="F459" i="18"/>
  <c r="G459" i="18"/>
  <c r="H459" i="18"/>
  <c r="I459" i="18"/>
  <c r="J459" i="18"/>
  <c r="K459" i="18"/>
  <c r="L459" i="18"/>
  <c r="A460" i="18"/>
  <c r="B460" i="18"/>
  <c r="C460" i="18"/>
  <c r="L460" i="18" s="1"/>
  <c r="D460" i="18"/>
  <c r="E460" i="18"/>
  <c r="F460" i="18"/>
  <c r="G460" i="18"/>
  <c r="H460" i="18"/>
  <c r="I460" i="18"/>
  <c r="J460" i="18"/>
  <c r="K460" i="18"/>
  <c r="A461" i="18"/>
  <c r="B461" i="18"/>
  <c r="C461" i="18"/>
  <c r="L461" i="18" s="1"/>
  <c r="D461" i="18"/>
  <c r="E461" i="18"/>
  <c r="F461" i="18"/>
  <c r="G461" i="18"/>
  <c r="H461" i="18"/>
  <c r="I461" i="18"/>
  <c r="J461" i="18"/>
  <c r="K461" i="18"/>
  <c r="A462" i="18"/>
  <c r="B462" i="18"/>
  <c r="I462" i="18" s="1"/>
  <c r="C462" i="18"/>
  <c r="L462" i="18" s="1"/>
  <c r="D462" i="18"/>
  <c r="E462" i="18"/>
  <c r="F462" i="18"/>
  <c r="G462" i="18"/>
  <c r="H462" i="18"/>
  <c r="J462" i="18"/>
  <c r="K462" i="18"/>
  <c r="A463" i="18"/>
  <c r="B463" i="18"/>
  <c r="I463" i="18" s="1"/>
  <c r="C463" i="18"/>
  <c r="L463" i="18" s="1"/>
  <c r="D463" i="18"/>
  <c r="E463" i="18"/>
  <c r="F463" i="18"/>
  <c r="G463" i="18"/>
  <c r="H463" i="18"/>
  <c r="J463" i="18"/>
  <c r="K463" i="18"/>
  <c r="A464" i="18"/>
  <c r="B464" i="18"/>
  <c r="I464" i="18" s="1"/>
  <c r="C464" i="18"/>
  <c r="L464" i="18" s="1"/>
  <c r="D464" i="18"/>
  <c r="E464" i="18"/>
  <c r="F464" i="18"/>
  <c r="G464" i="18"/>
  <c r="H464" i="18"/>
  <c r="J464" i="18"/>
  <c r="K464" i="18"/>
  <c r="A465" i="18"/>
  <c r="B465" i="18"/>
  <c r="C465" i="18"/>
  <c r="L465" i="18" s="1"/>
  <c r="D465" i="18"/>
  <c r="E465" i="18"/>
  <c r="F465" i="18"/>
  <c r="G465" i="18"/>
  <c r="H465" i="18"/>
  <c r="I465" i="18"/>
  <c r="J465" i="18"/>
  <c r="K465" i="18"/>
  <c r="A466" i="18"/>
  <c r="B466" i="18"/>
  <c r="C466" i="18"/>
  <c r="D466" i="18"/>
  <c r="E466" i="18"/>
  <c r="F466" i="18"/>
  <c r="G466" i="18"/>
  <c r="H466" i="18"/>
  <c r="I466" i="18"/>
  <c r="J466" i="18"/>
  <c r="K466" i="18"/>
  <c r="L466" i="18"/>
  <c r="A467" i="18"/>
  <c r="B467" i="18"/>
  <c r="C467" i="18"/>
  <c r="L467" i="18" s="1"/>
  <c r="D467" i="18"/>
  <c r="E467" i="18"/>
  <c r="F467" i="18"/>
  <c r="G467" i="18"/>
  <c r="H467" i="18"/>
  <c r="I467" i="18"/>
  <c r="J467" i="18"/>
  <c r="K467" i="18"/>
  <c r="A468" i="18"/>
  <c r="B468" i="18"/>
  <c r="C468" i="18"/>
  <c r="D468" i="18"/>
  <c r="E468" i="18"/>
  <c r="F468" i="18"/>
  <c r="G468" i="18"/>
  <c r="H468" i="18"/>
  <c r="I468" i="18"/>
  <c r="J468" i="18"/>
  <c r="K468" i="18"/>
  <c r="L468" i="18"/>
  <c r="A469" i="18"/>
  <c r="B469" i="18"/>
  <c r="C469" i="18"/>
  <c r="L469" i="18" s="1"/>
  <c r="D469" i="18"/>
  <c r="E469" i="18"/>
  <c r="F469" i="18"/>
  <c r="G469" i="18"/>
  <c r="H469" i="18"/>
  <c r="I469" i="18"/>
  <c r="J469" i="18"/>
  <c r="K469" i="18"/>
  <c r="A470" i="18"/>
  <c r="B470" i="18"/>
  <c r="C470" i="18"/>
  <c r="D470" i="18"/>
  <c r="E470" i="18"/>
  <c r="F470" i="18"/>
  <c r="G470" i="18"/>
  <c r="H470" i="18"/>
  <c r="I470" i="18"/>
  <c r="J470" i="18"/>
  <c r="K470" i="18"/>
  <c r="L470" i="18"/>
  <c r="A471" i="18"/>
  <c r="B471" i="18"/>
  <c r="C471" i="18"/>
  <c r="L471" i="18" s="1"/>
  <c r="D471" i="18"/>
  <c r="E471" i="18"/>
  <c r="F471" i="18"/>
  <c r="G471" i="18"/>
  <c r="H471" i="18"/>
  <c r="I471" i="18"/>
  <c r="J471" i="18"/>
  <c r="K471" i="18"/>
  <c r="A472" i="18"/>
  <c r="B472" i="18"/>
  <c r="C472" i="18"/>
  <c r="D472" i="18"/>
  <c r="E472" i="18"/>
  <c r="F472" i="18"/>
  <c r="G472" i="18"/>
  <c r="H472" i="18"/>
  <c r="I472" i="18"/>
  <c r="J472" i="18"/>
  <c r="K472" i="18"/>
  <c r="L472" i="18"/>
  <c r="A473" i="18"/>
  <c r="B473" i="18"/>
  <c r="C473" i="18"/>
  <c r="L473" i="18" s="1"/>
  <c r="D473" i="18"/>
  <c r="E473" i="18"/>
  <c r="F473" i="18"/>
  <c r="G473" i="18"/>
  <c r="H473" i="18"/>
  <c r="I473" i="18"/>
  <c r="J473" i="18"/>
  <c r="K473" i="18"/>
  <c r="A474" i="18"/>
  <c r="B474" i="18"/>
  <c r="C474" i="18"/>
  <c r="D474" i="18"/>
  <c r="E474" i="18"/>
  <c r="F474" i="18"/>
  <c r="G474" i="18"/>
  <c r="H474" i="18"/>
  <c r="I474" i="18"/>
  <c r="J474" i="18"/>
  <c r="K474" i="18"/>
  <c r="L474" i="18"/>
  <c r="A475" i="18"/>
  <c r="B475" i="18"/>
  <c r="C475" i="18"/>
  <c r="L475" i="18" s="1"/>
  <c r="D475" i="18"/>
  <c r="E475" i="18"/>
  <c r="F475" i="18"/>
  <c r="G475" i="18"/>
  <c r="H475" i="18"/>
  <c r="I475" i="18"/>
  <c r="J475" i="18"/>
  <c r="K475" i="18"/>
  <c r="A476" i="18"/>
  <c r="B476" i="18"/>
  <c r="C476" i="18"/>
  <c r="D476" i="18"/>
  <c r="E476" i="18"/>
  <c r="F476" i="18"/>
  <c r="G476" i="18"/>
  <c r="H476" i="18"/>
  <c r="I476" i="18"/>
  <c r="J476" i="18"/>
  <c r="K476" i="18"/>
  <c r="L476" i="18"/>
  <c r="A477" i="18"/>
  <c r="B477" i="18"/>
  <c r="C477" i="18"/>
  <c r="L477" i="18" s="1"/>
  <c r="D477" i="18"/>
  <c r="E477" i="18"/>
  <c r="F477" i="18"/>
  <c r="G477" i="18"/>
  <c r="H477" i="18"/>
  <c r="I477" i="18"/>
  <c r="J477" i="18"/>
  <c r="K477" i="18"/>
  <c r="A478" i="18"/>
  <c r="B478" i="18"/>
  <c r="C478" i="18"/>
  <c r="D478" i="18"/>
  <c r="E478" i="18"/>
  <c r="F478" i="18"/>
  <c r="G478" i="18"/>
  <c r="H478" i="18"/>
  <c r="I478" i="18"/>
  <c r="J478" i="18"/>
  <c r="K478" i="18"/>
  <c r="L478" i="18"/>
  <c r="A479" i="18"/>
  <c r="B479" i="18"/>
  <c r="C479" i="18"/>
  <c r="L479" i="18" s="1"/>
  <c r="D479" i="18"/>
  <c r="E479" i="18"/>
  <c r="F479" i="18"/>
  <c r="G479" i="18"/>
  <c r="H479" i="18"/>
  <c r="I479" i="18"/>
  <c r="J479" i="18"/>
  <c r="K479" i="18"/>
  <c r="A480" i="18"/>
  <c r="B480" i="18"/>
  <c r="C480" i="18"/>
  <c r="D480" i="18"/>
  <c r="E480" i="18"/>
  <c r="F480" i="18"/>
  <c r="G480" i="18"/>
  <c r="H480" i="18"/>
  <c r="I480" i="18"/>
  <c r="J480" i="18"/>
  <c r="K480" i="18"/>
  <c r="L480" i="18"/>
  <c r="A481" i="18"/>
  <c r="B481" i="18"/>
  <c r="C481" i="18"/>
  <c r="L481" i="18" s="1"/>
  <c r="D481" i="18"/>
  <c r="E481" i="18"/>
  <c r="F481" i="18"/>
  <c r="G481" i="18"/>
  <c r="H481" i="18"/>
  <c r="I481" i="18"/>
  <c r="J481" i="18"/>
  <c r="K481" i="18"/>
  <c r="A482" i="18"/>
  <c r="B482" i="18"/>
  <c r="C482" i="18"/>
  <c r="D482" i="18"/>
  <c r="E482" i="18"/>
  <c r="F482" i="18"/>
  <c r="G482" i="18"/>
  <c r="H482" i="18"/>
  <c r="I482" i="18"/>
  <c r="J482" i="18"/>
  <c r="K482" i="18"/>
  <c r="L482" i="18"/>
  <c r="A483" i="18"/>
  <c r="B483" i="18"/>
  <c r="C483" i="18"/>
  <c r="L483" i="18" s="1"/>
  <c r="D483" i="18"/>
  <c r="E483" i="18"/>
  <c r="F483" i="18"/>
  <c r="G483" i="18"/>
  <c r="H483" i="18"/>
  <c r="I483" i="18"/>
  <c r="J483" i="18"/>
  <c r="K483" i="18"/>
  <c r="A484" i="18"/>
  <c r="B484" i="18"/>
  <c r="C484" i="18"/>
  <c r="D484" i="18"/>
  <c r="E484" i="18"/>
  <c r="F484" i="18"/>
  <c r="G484" i="18"/>
  <c r="H484" i="18"/>
  <c r="I484" i="18"/>
  <c r="J484" i="18"/>
  <c r="K484" i="18"/>
  <c r="L484" i="18"/>
  <c r="A485" i="18"/>
  <c r="B485" i="18"/>
  <c r="C485" i="18"/>
  <c r="L485" i="18" s="1"/>
  <c r="D485" i="18"/>
  <c r="E485" i="18"/>
  <c r="F485" i="18"/>
  <c r="G485" i="18"/>
  <c r="H485" i="18"/>
  <c r="I485" i="18"/>
  <c r="J485" i="18"/>
  <c r="K485" i="18"/>
  <c r="A486" i="18"/>
  <c r="B486" i="18"/>
  <c r="C486" i="18"/>
  <c r="D486" i="18"/>
  <c r="E486" i="18"/>
  <c r="F486" i="18"/>
  <c r="G486" i="18"/>
  <c r="H486" i="18"/>
  <c r="I486" i="18"/>
  <c r="J486" i="18"/>
  <c r="K486" i="18"/>
  <c r="L486" i="18"/>
  <c r="A487" i="18"/>
  <c r="B487" i="18"/>
  <c r="C487" i="18"/>
  <c r="L487" i="18" s="1"/>
  <c r="D487" i="18"/>
  <c r="E487" i="18"/>
  <c r="F487" i="18"/>
  <c r="G487" i="18"/>
  <c r="H487" i="18"/>
  <c r="I487" i="18"/>
  <c r="J487" i="18"/>
  <c r="K487" i="18"/>
  <c r="A488" i="18"/>
  <c r="B488" i="18"/>
  <c r="C488" i="18"/>
  <c r="D488" i="18"/>
  <c r="E488" i="18"/>
  <c r="F488" i="18"/>
  <c r="G488" i="18"/>
  <c r="H488" i="18"/>
  <c r="I488" i="18"/>
  <c r="J488" i="18"/>
  <c r="K488" i="18"/>
  <c r="L488" i="18"/>
  <c r="A489" i="18"/>
  <c r="B489" i="18"/>
  <c r="C489" i="18"/>
  <c r="L489" i="18" s="1"/>
  <c r="D489" i="18"/>
  <c r="E489" i="18"/>
  <c r="F489" i="18"/>
  <c r="G489" i="18"/>
  <c r="H489" i="18"/>
  <c r="I489" i="18"/>
  <c r="J489" i="18"/>
  <c r="K489" i="18"/>
  <c r="A490" i="18"/>
  <c r="B490" i="18"/>
  <c r="C490" i="18"/>
  <c r="D490" i="18"/>
  <c r="E490" i="18"/>
  <c r="F490" i="18"/>
  <c r="G490" i="18"/>
  <c r="H490" i="18"/>
  <c r="I490" i="18"/>
  <c r="J490" i="18"/>
  <c r="K490" i="18"/>
  <c r="L490" i="18"/>
  <c r="A491" i="18"/>
  <c r="B491" i="18"/>
  <c r="C491" i="18"/>
  <c r="L491" i="18" s="1"/>
  <c r="D491" i="18"/>
  <c r="E491" i="18"/>
  <c r="F491" i="18"/>
  <c r="G491" i="18"/>
  <c r="H491" i="18"/>
  <c r="I491" i="18"/>
  <c r="J491" i="18"/>
  <c r="K491" i="18"/>
  <c r="A492" i="18"/>
  <c r="B492" i="18"/>
  <c r="C492" i="18"/>
  <c r="D492" i="18"/>
  <c r="E492" i="18"/>
  <c r="F492" i="18"/>
  <c r="G492" i="18"/>
  <c r="H492" i="18"/>
  <c r="I492" i="18"/>
  <c r="J492" i="18"/>
  <c r="K492" i="18"/>
  <c r="L492" i="18"/>
  <c r="A493" i="18"/>
  <c r="B493" i="18"/>
  <c r="C493" i="18"/>
  <c r="L493" i="18" s="1"/>
  <c r="D493" i="18"/>
  <c r="E493" i="18"/>
  <c r="F493" i="18"/>
  <c r="G493" i="18"/>
  <c r="H493" i="18"/>
  <c r="I493" i="18"/>
  <c r="J493" i="18"/>
  <c r="K493" i="18"/>
  <c r="A494" i="18"/>
  <c r="B494" i="18"/>
  <c r="C494" i="18"/>
  <c r="D494" i="18"/>
  <c r="E494" i="18"/>
  <c r="F494" i="18"/>
  <c r="G494" i="18"/>
  <c r="H494" i="18"/>
  <c r="I494" i="18"/>
  <c r="J494" i="18"/>
  <c r="K494" i="18"/>
  <c r="L494" i="18"/>
  <c r="A495" i="18"/>
  <c r="B495" i="18"/>
  <c r="C495" i="18"/>
  <c r="L495" i="18" s="1"/>
  <c r="D495" i="18"/>
  <c r="E495" i="18"/>
  <c r="F495" i="18"/>
  <c r="G495" i="18"/>
  <c r="H495" i="18"/>
  <c r="I495" i="18"/>
  <c r="J495" i="18"/>
  <c r="K495" i="18"/>
  <c r="A496" i="18"/>
  <c r="B496" i="18"/>
  <c r="C496" i="18"/>
  <c r="D496" i="18"/>
  <c r="E496" i="18"/>
  <c r="F496" i="18"/>
  <c r="G496" i="18"/>
  <c r="H496" i="18"/>
  <c r="I496" i="18"/>
  <c r="J496" i="18"/>
  <c r="K496" i="18"/>
  <c r="L496" i="18"/>
  <c r="A497" i="18"/>
  <c r="B497" i="18"/>
  <c r="C497" i="18"/>
  <c r="L497" i="18" s="1"/>
  <c r="D497" i="18"/>
  <c r="E497" i="18"/>
  <c r="F497" i="18"/>
  <c r="G497" i="18"/>
  <c r="H497" i="18"/>
  <c r="I497" i="18"/>
  <c r="J497" i="18"/>
  <c r="K497" i="18"/>
  <c r="A498" i="18"/>
  <c r="B498" i="18"/>
  <c r="C498" i="18"/>
  <c r="D498" i="18"/>
  <c r="E498" i="18"/>
  <c r="F498" i="18"/>
  <c r="G498" i="18"/>
  <c r="H498" i="18"/>
  <c r="I498" i="18"/>
  <c r="J498" i="18"/>
  <c r="K498" i="18"/>
  <c r="L498" i="18"/>
  <c r="A499" i="18"/>
  <c r="B499" i="18"/>
  <c r="C499" i="18"/>
  <c r="L499" i="18" s="1"/>
  <c r="D499" i="18"/>
  <c r="E499" i="18"/>
  <c r="F499" i="18"/>
  <c r="G499" i="18"/>
  <c r="H499" i="18"/>
  <c r="I499" i="18"/>
  <c r="J499" i="18"/>
  <c r="K499" i="18"/>
  <c r="A500" i="18"/>
  <c r="B500" i="18"/>
  <c r="C500" i="18"/>
  <c r="D500" i="18"/>
  <c r="E500" i="18"/>
  <c r="F500" i="18"/>
  <c r="G500" i="18"/>
  <c r="H500" i="18"/>
  <c r="I500" i="18"/>
  <c r="J500" i="18"/>
  <c r="K500" i="18"/>
  <c r="L500" i="18"/>
  <c r="A501" i="18"/>
  <c r="B501" i="18"/>
  <c r="C501" i="18"/>
  <c r="L501" i="18" s="1"/>
  <c r="D501" i="18"/>
  <c r="E501" i="18"/>
  <c r="F501" i="18"/>
  <c r="G501" i="18"/>
  <c r="H501" i="18"/>
  <c r="I501" i="18"/>
  <c r="J501" i="18"/>
  <c r="K501" i="18"/>
  <c r="A502" i="18"/>
  <c r="B502" i="18"/>
  <c r="C502" i="18"/>
  <c r="D502" i="18"/>
  <c r="E502" i="18"/>
  <c r="F502" i="18"/>
  <c r="G502" i="18"/>
  <c r="H502" i="18"/>
  <c r="I502" i="18"/>
  <c r="J502" i="18"/>
  <c r="K502" i="18"/>
  <c r="L502" i="18"/>
  <c r="A503" i="18"/>
  <c r="B503" i="18"/>
  <c r="C503" i="18"/>
  <c r="L503" i="18" s="1"/>
  <c r="D503" i="18"/>
  <c r="E503" i="18"/>
  <c r="F503" i="18"/>
  <c r="G503" i="18"/>
  <c r="H503" i="18"/>
  <c r="I503" i="18"/>
  <c r="J503" i="18"/>
  <c r="K503" i="18"/>
  <c r="A504" i="18"/>
  <c r="B504" i="18"/>
  <c r="C504" i="18"/>
  <c r="D504" i="18"/>
  <c r="E504" i="18"/>
  <c r="F504" i="18"/>
  <c r="G504" i="18"/>
  <c r="H504" i="18"/>
  <c r="I504" i="18"/>
  <c r="J504" i="18"/>
  <c r="K504" i="18"/>
  <c r="L504" i="18"/>
  <c r="A505" i="18"/>
  <c r="B505" i="18"/>
  <c r="C505" i="18"/>
  <c r="L505" i="18" s="1"/>
  <c r="D505" i="18"/>
  <c r="E505" i="18"/>
  <c r="F505" i="18"/>
  <c r="G505" i="18"/>
  <c r="H505" i="18"/>
  <c r="I505" i="18"/>
  <c r="J505" i="18"/>
  <c r="K505" i="18"/>
  <c r="A506" i="18"/>
  <c r="B506" i="18"/>
  <c r="C506" i="18"/>
  <c r="D506" i="18"/>
  <c r="E506" i="18"/>
  <c r="F506" i="18"/>
  <c r="G506" i="18"/>
  <c r="H506" i="18"/>
  <c r="I506" i="18"/>
  <c r="J506" i="18"/>
  <c r="K506" i="18"/>
  <c r="L506" i="18"/>
  <c r="A507" i="18"/>
  <c r="B507" i="18"/>
  <c r="C507" i="18"/>
  <c r="L507" i="18" s="1"/>
  <c r="D507" i="18"/>
  <c r="E507" i="18"/>
  <c r="F507" i="18"/>
  <c r="G507" i="18"/>
  <c r="H507" i="18"/>
  <c r="I507" i="18"/>
  <c r="J507" i="18"/>
  <c r="K507" i="18"/>
  <c r="A508" i="18"/>
  <c r="B508" i="18"/>
  <c r="C508" i="18"/>
  <c r="D508" i="18"/>
  <c r="E508" i="18"/>
  <c r="F508" i="18"/>
  <c r="G508" i="18"/>
  <c r="H508" i="18"/>
  <c r="I508" i="18"/>
  <c r="J508" i="18"/>
  <c r="K508" i="18"/>
  <c r="L508" i="18"/>
  <c r="A509" i="18"/>
  <c r="B509" i="18"/>
  <c r="C509" i="18"/>
  <c r="L509" i="18" s="1"/>
  <c r="D509" i="18"/>
  <c r="E509" i="18"/>
  <c r="F509" i="18"/>
  <c r="G509" i="18"/>
  <c r="H509" i="18"/>
  <c r="I509" i="18"/>
  <c r="J509" i="18"/>
  <c r="K509" i="18"/>
  <c r="A510" i="18"/>
  <c r="B510" i="18"/>
  <c r="C510" i="18"/>
  <c r="D510" i="18"/>
  <c r="E510" i="18"/>
  <c r="F510" i="18"/>
  <c r="G510" i="18"/>
  <c r="H510" i="18"/>
  <c r="I510" i="18"/>
  <c r="J510" i="18"/>
  <c r="K510" i="18"/>
  <c r="L510" i="18"/>
  <c r="A511" i="18"/>
  <c r="B511" i="18"/>
  <c r="C511" i="18"/>
  <c r="L511" i="18" s="1"/>
  <c r="D511" i="18"/>
  <c r="E511" i="18"/>
  <c r="F511" i="18"/>
  <c r="G511" i="18"/>
  <c r="H511" i="18"/>
  <c r="I511" i="18"/>
  <c r="J511" i="18"/>
  <c r="K511" i="18"/>
  <c r="A512" i="18"/>
  <c r="B512" i="18"/>
  <c r="C512" i="18"/>
  <c r="D512" i="18"/>
  <c r="E512" i="18"/>
  <c r="F512" i="18"/>
  <c r="G512" i="18"/>
  <c r="H512" i="18"/>
  <c r="I512" i="18"/>
  <c r="J512" i="18"/>
  <c r="K512" i="18"/>
  <c r="L512" i="18"/>
  <c r="A513" i="18"/>
  <c r="B513" i="18"/>
  <c r="C513" i="18"/>
  <c r="L513" i="18" s="1"/>
  <c r="D513" i="18"/>
  <c r="E513" i="18"/>
  <c r="F513" i="18"/>
  <c r="G513" i="18"/>
  <c r="H513" i="18"/>
  <c r="I513" i="18"/>
  <c r="J513" i="18"/>
  <c r="K513" i="18"/>
  <c r="A514" i="18"/>
  <c r="B514" i="18"/>
  <c r="C514" i="18"/>
  <c r="D514" i="18"/>
  <c r="E514" i="18"/>
  <c r="F514" i="18"/>
  <c r="G514" i="18"/>
  <c r="H514" i="18"/>
  <c r="I514" i="18"/>
  <c r="J514" i="18"/>
  <c r="K514" i="18"/>
  <c r="L514" i="18"/>
  <c r="A515" i="18"/>
  <c r="B515" i="18"/>
  <c r="C515" i="18"/>
  <c r="L515" i="18" s="1"/>
  <c r="D515" i="18"/>
  <c r="E515" i="18"/>
  <c r="F515" i="18"/>
  <c r="G515" i="18"/>
  <c r="H515" i="18"/>
  <c r="I515" i="18"/>
  <c r="J515" i="18"/>
  <c r="K515" i="18"/>
  <c r="A516" i="18"/>
  <c r="B516" i="18"/>
  <c r="C516" i="18"/>
  <c r="D516" i="18"/>
  <c r="E516" i="18"/>
  <c r="F516" i="18"/>
  <c r="G516" i="18"/>
  <c r="H516" i="18"/>
  <c r="I516" i="18"/>
  <c r="J516" i="18"/>
  <c r="K516" i="18"/>
  <c r="L516" i="18"/>
  <c r="A517" i="18"/>
  <c r="B517" i="18"/>
  <c r="C517" i="18"/>
  <c r="L517" i="18" s="1"/>
  <c r="D517" i="18"/>
  <c r="E517" i="18"/>
  <c r="F517" i="18"/>
  <c r="G517" i="18"/>
  <c r="H517" i="18"/>
  <c r="I517" i="18"/>
  <c r="J517" i="18"/>
  <c r="K517" i="18"/>
  <c r="A518" i="18"/>
  <c r="B518" i="18"/>
  <c r="C518" i="18"/>
  <c r="D518" i="18"/>
  <c r="E518" i="18"/>
  <c r="F518" i="18"/>
  <c r="G518" i="18"/>
  <c r="H518" i="18"/>
  <c r="I518" i="18"/>
  <c r="J518" i="18"/>
  <c r="K518" i="18"/>
  <c r="L518" i="18"/>
  <c r="A519" i="18"/>
  <c r="B519" i="18"/>
  <c r="C519" i="18"/>
  <c r="L519" i="18" s="1"/>
  <c r="D519" i="18"/>
  <c r="E519" i="18"/>
  <c r="F519" i="18"/>
  <c r="G519" i="18"/>
  <c r="H519" i="18"/>
  <c r="I519" i="18"/>
  <c r="J519" i="18"/>
  <c r="K519" i="18"/>
  <c r="A520" i="18"/>
  <c r="B520" i="18"/>
  <c r="C520" i="18"/>
  <c r="D520" i="18"/>
  <c r="E520" i="18"/>
  <c r="F520" i="18"/>
  <c r="G520" i="18"/>
  <c r="H520" i="18"/>
  <c r="I520" i="18"/>
  <c r="J520" i="18"/>
  <c r="K520" i="18"/>
  <c r="L520" i="18"/>
  <c r="A521" i="18"/>
  <c r="B521" i="18"/>
  <c r="C521" i="18"/>
  <c r="L521" i="18" s="1"/>
  <c r="D521" i="18"/>
  <c r="E521" i="18"/>
  <c r="F521" i="18"/>
  <c r="G521" i="18"/>
  <c r="H521" i="18"/>
  <c r="I521" i="18"/>
  <c r="J521" i="18"/>
  <c r="K521" i="18"/>
  <c r="A522" i="18"/>
  <c r="B522" i="18"/>
  <c r="C522" i="18"/>
  <c r="D522" i="18"/>
  <c r="E522" i="18"/>
  <c r="F522" i="18"/>
  <c r="G522" i="18"/>
  <c r="H522" i="18"/>
  <c r="I522" i="18"/>
  <c r="J522" i="18"/>
  <c r="K522" i="18"/>
  <c r="L522" i="18"/>
  <c r="A523" i="18"/>
  <c r="B523" i="18"/>
  <c r="C523" i="18"/>
  <c r="L523" i="18" s="1"/>
  <c r="D523" i="18"/>
  <c r="E523" i="18"/>
  <c r="F523" i="18"/>
  <c r="G523" i="18"/>
  <c r="H523" i="18"/>
  <c r="I523" i="18"/>
  <c r="J523" i="18"/>
  <c r="K523" i="18"/>
  <c r="A524" i="18"/>
  <c r="B524" i="18"/>
  <c r="C524" i="18"/>
  <c r="D524" i="18"/>
  <c r="E524" i="18"/>
  <c r="F524" i="18"/>
  <c r="G524" i="18"/>
  <c r="H524" i="18"/>
  <c r="I524" i="18"/>
  <c r="J524" i="18"/>
  <c r="K524" i="18"/>
  <c r="L524" i="18"/>
  <c r="A525" i="18"/>
  <c r="B525" i="18"/>
  <c r="C525" i="18"/>
  <c r="L525" i="18" s="1"/>
  <c r="D525" i="18"/>
  <c r="E525" i="18"/>
  <c r="F525" i="18"/>
  <c r="G525" i="18"/>
  <c r="H525" i="18"/>
  <c r="I525" i="18"/>
  <c r="J525" i="18"/>
  <c r="K525" i="18"/>
  <c r="A526" i="18"/>
  <c r="B526" i="18"/>
  <c r="C526" i="18"/>
  <c r="D526" i="18"/>
  <c r="E526" i="18"/>
  <c r="F526" i="18"/>
  <c r="G526" i="18"/>
  <c r="H526" i="18"/>
  <c r="I526" i="18"/>
  <c r="J526" i="18"/>
  <c r="K526" i="18"/>
  <c r="L526" i="18"/>
  <c r="A527" i="18"/>
  <c r="B527" i="18"/>
  <c r="C527" i="18"/>
  <c r="L527" i="18" s="1"/>
  <c r="D527" i="18"/>
  <c r="E527" i="18"/>
  <c r="F527" i="18"/>
  <c r="G527" i="18"/>
  <c r="H527" i="18"/>
  <c r="I527" i="18"/>
  <c r="J527" i="18"/>
  <c r="K527" i="18"/>
  <c r="A528" i="18"/>
  <c r="B528" i="18"/>
  <c r="C528" i="18"/>
  <c r="D528" i="18"/>
  <c r="E528" i="18"/>
  <c r="F528" i="18"/>
  <c r="G528" i="18"/>
  <c r="H528" i="18"/>
  <c r="I528" i="18"/>
  <c r="J528" i="18"/>
  <c r="K528" i="18"/>
  <c r="L528" i="18"/>
  <c r="A529" i="18"/>
  <c r="B529" i="18"/>
  <c r="C529" i="18"/>
  <c r="L529" i="18" s="1"/>
  <c r="D529" i="18"/>
  <c r="E529" i="18"/>
  <c r="F529" i="18"/>
  <c r="G529" i="18"/>
  <c r="H529" i="18"/>
  <c r="I529" i="18"/>
  <c r="J529" i="18"/>
  <c r="K529" i="18"/>
  <c r="A530" i="18"/>
  <c r="B530" i="18"/>
  <c r="C530" i="18"/>
  <c r="D530" i="18"/>
  <c r="E530" i="18"/>
  <c r="F530" i="18"/>
  <c r="G530" i="18"/>
  <c r="H530" i="18"/>
  <c r="I530" i="18"/>
  <c r="J530" i="18"/>
  <c r="K530" i="18"/>
  <c r="L530" i="18"/>
  <c r="A531" i="18"/>
  <c r="B531" i="18"/>
  <c r="C531" i="18"/>
  <c r="L531" i="18" s="1"/>
  <c r="D531" i="18"/>
  <c r="E531" i="18"/>
  <c r="F531" i="18"/>
  <c r="G531" i="18"/>
  <c r="H531" i="18"/>
  <c r="I531" i="18"/>
  <c r="J531" i="18"/>
  <c r="K531" i="18"/>
  <c r="A532" i="18"/>
  <c r="B532" i="18"/>
  <c r="C532" i="18"/>
  <c r="D532" i="18"/>
  <c r="E532" i="18"/>
  <c r="F532" i="18"/>
  <c r="G532" i="18"/>
  <c r="H532" i="18"/>
  <c r="I532" i="18"/>
  <c r="J532" i="18"/>
  <c r="K532" i="18"/>
  <c r="L532" i="18"/>
  <c r="A533" i="18"/>
  <c r="B533" i="18"/>
  <c r="C533" i="18"/>
  <c r="L533" i="18" s="1"/>
  <c r="D533" i="18"/>
  <c r="E533" i="18"/>
  <c r="F533" i="18"/>
  <c r="G533" i="18"/>
  <c r="H533" i="18"/>
  <c r="I533" i="18"/>
  <c r="J533" i="18"/>
  <c r="K533" i="18"/>
  <c r="A534" i="18"/>
  <c r="B534" i="18"/>
  <c r="C534" i="18"/>
  <c r="D534" i="18"/>
  <c r="E534" i="18"/>
  <c r="F534" i="18"/>
  <c r="G534" i="18"/>
  <c r="H534" i="18"/>
  <c r="I534" i="18"/>
  <c r="J534" i="18"/>
  <c r="K534" i="18"/>
  <c r="L534" i="18"/>
  <c r="A535" i="18"/>
  <c r="B535" i="18"/>
  <c r="C535" i="18"/>
  <c r="L535" i="18" s="1"/>
  <c r="D535" i="18"/>
  <c r="E535" i="18"/>
  <c r="F535" i="18"/>
  <c r="G535" i="18"/>
  <c r="H535" i="18"/>
  <c r="I535" i="18"/>
  <c r="J535" i="18"/>
  <c r="K535" i="18"/>
  <c r="A536" i="18"/>
  <c r="B536" i="18"/>
  <c r="C536" i="18"/>
  <c r="D536" i="18"/>
  <c r="E536" i="18"/>
  <c r="F536" i="18"/>
  <c r="G536" i="18"/>
  <c r="H536" i="18"/>
  <c r="I536" i="18"/>
  <c r="J536" i="18"/>
  <c r="K536" i="18"/>
  <c r="L536" i="18"/>
  <c r="A537" i="18"/>
  <c r="B537" i="18"/>
  <c r="C537" i="18"/>
  <c r="L537" i="18" s="1"/>
  <c r="D537" i="18"/>
  <c r="E537" i="18"/>
  <c r="F537" i="18"/>
  <c r="G537" i="18"/>
  <c r="H537" i="18"/>
  <c r="I537" i="18"/>
  <c r="J537" i="18"/>
  <c r="K537" i="18"/>
  <c r="A538" i="18"/>
  <c r="B538" i="18"/>
  <c r="C538" i="18"/>
  <c r="D538" i="18"/>
  <c r="E538" i="18"/>
  <c r="F538" i="18"/>
  <c r="G538" i="18"/>
  <c r="H538" i="18"/>
  <c r="I538" i="18"/>
  <c r="J538" i="18"/>
  <c r="K538" i="18"/>
  <c r="L538" i="18"/>
  <c r="A539" i="18"/>
  <c r="B539" i="18"/>
  <c r="C539" i="18"/>
  <c r="L539" i="18" s="1"/>
  <c r="D539" i="18"/>
  <c r="E539" i="18"/>
  <c r="F539" i="18"/>
  <c r="G539" i="18"/>
  <c r="H539" i="18"/>
  <c r="I539" i="18"/>
  <c r="J539" i="18"/>
  <c r="K539" i="18"/>
  <c r="A540" i="18"/>
  <c r="B540" i="18"/>
  <c r="C540" i="18"/>
  <c r="D540" i="18"/>
  <c r="E540" i="18"/>
  <c r="F540" i="18"/>
  <c r="G540" i="18"/>
  <c r="H540" i="18"/>
  <c r="I540" i="18"/>
  <c r="J540" i="18"/>
  <c r="K540" i="18"/>
  <c r="L540" i="18"/>
  <c r="A541" i="18"/>
  <c r="B541" i="18"/>
  <c r="C541" i="18"/>
  <c r="L541" i="18" s="1"/>
  <c r="D541" i="18"/>
  <c r="E541" i="18"/>
  <c r="F541" i="18"/>
  <c r="G541" i="18"/>
  <c r="H541" i="18"/>
  <c r="I541" i="18"/>
  <c r="J541" i="18"/>
  <c r="K541" i="18"/>
  <c r="A542" i="18"/>
  <c r="B542" i="18"/>
  <c r="C542" i="18"/>
  <c r="D542" i="18"/>
  <c r="E542" i="18"/>
  <c r="F542" i="18"/>
  <c r="G542" i="18"/>
  <c r="H542" i="18"/>
  <c r="I542" i="18"/>
  <c r="J542" i="18"/>
  <c r="K542" i="18"/>
  <c r="L542" i="18"/>
  <c r="A543" i="18"/>
  <c r="B543" i="18"/>
  <c r="C543" i="18"/>
  <c r="L543" i="18" s="1"/>
  <c r="D543" i="18"/>
  <c r="E543" i="18"/>
  <c r="F543" i="18"/>
  <c r="G543" i="18"/>
  <c r="H543" i="18"/>
  <c r="I543" i="18"/>
  <c r="J543" i="18"/>
  <c r="K543" i="18"/>
  <c r="A544" i="18"/>
  <c r="B544" i="18"/>
  <c r="C544" i="18"/>
  <c r="D544" i="18"/>
  <c r="E544" i="18"/>
  <c r="F544" i="18"/>
  <c r="G544" i="18"/>
  <c r="H544" i="18"/>
  <c r="I544" i="18"/>
  <c r="J544" i="18"/>
  <c r="K544" i="18"/>
  <c r="L544" i="18"/>
  <c r="A545" i="18"/>
  <c r="B545" i="18"/>
  <c r="C545" i="18"/>
  <c r="L545" i="18" s="1"/>
  <c r="D545" i="18"/>
  <c r="E545" i="18"/>
  <c r="F545" i="18"/>
  <c r="G545" i="18"/>
  <c r="H545" i="18"/>
  <c r="I545" i="18"/>
  <c r="J545" i="18"/>
  <c r="K545" i="18"/>
  <c r="A546" i="18"/>
  <c r="B546" i="18"/>
  <c r="C546" i="18"/>
  <c r="D546" i="18"/>
  <c r="E546" i="18"/>
  <c r="F546" i="18"/>
  <c r="G546" i="18"/>
  <c r="H546" i="18"/>
  <c r="I546" i="18"/>
  <c r="J546" i="18"/>
  <c r="K546" i="18"/>
  <c r="L546" i="18"/>
  <c r="A547" i="18"/>
  <c r="B547" i="18"/>
  <c r="C547" i="18"/>
  <c r="L547" i="18" s="1"/>
  <c r="D547" i="18"/>
  <c r="E547" i="18"/>
  <c r="F547" i="18"/>
  <c r="G547" i="18"/>
  <c r="H547" i="18"/>
  <c r="I547" i="18"/>
  <c r="J547" i="18"/>
  <c r="K547" i="18"/>
  <c r="A548" i="18"/>
  <c r="B548" i="18"/>
  <c r="C548" i="18"/>
  <c r="D548" i="18"/>
  <c r="E548" i="18"/>
  <c r="F548" i="18"/>
  <c r="G548" i="18"/>
  <c r="H548" i="18"/>
  <c r="I548" i="18"/>
  <c r="J548" i="18"/>
  <c r="K548" i="18"/>
  <c r="L548" i="18"/>
  <c r="A549" i="18"/>
  <c r="B549" i="18"/>
  <c r="C549" i="18"/>
  <c r="L549" i="18" s="1"/>
  <c r="D549" i="18"/>
  <c r="E549" i="18"/>
  <c r="F549" i="18"/>
  <c r="G549" i="18"/>
  <c r="H549" i="18"/>
  <c r="I549" i="18"/>
  <c r="J549" i="18"/>
  <c r="K549" i="18"/>
  <c r="A550" i="18"/>
  <c r="B550" i="18"/>
  <c r="C550" i="18"/>
  <c r="D550" i="18"/>
  <c r="E550" i="18"/>
  <c r="F550" i="18"/>
  <c r="G550" i="18"/>
  <c r="H550" i="18"/>
  <c r="I550" i="18"/>
  <c r="J550" i="18"/>
  <c r="K550" i="18"/>
  <c r="L550" i="18"/>
  <c r="A551" i="18"/>
  <c r="B551" i="18"/>
  <c r="C551" i="18"/>
  <c r="L551" i="18" s="1"/>
  <c r="D551" i="18"/>
  <c r="E551" i="18"/>
  <c r="F551" i="18"/>
  <c r="G551" i="18"/>
  <c r="H551" i="18"/>
  <c r="I551" i="18"/>
  <c r="J551" i="18"/>
  <c r="K551" i="18"/>
  <c r="A552" i="18"/>
  <c r="B552" i="18"/>
  <c r="C552" i="18"/>
  <c r="D552" i="18"/>
  <c r="E552" i="18"/>
  <c r="F552" i="18"/>
  <c r="G552" i="18"/>
  <c r="H552" i="18"/>
  <c r="I552" i="18"/>
  <c r="J552" i="18"/>
  <c r="K552" i="18"/>
  <c r="L552" i="18"/>
  <c r="A553" i="18"/>
  <c r="B553" i="18"/>
  <c r="C553" i="18"/>
  <c r="L553" i="18" s="1"/>
  <c r="D553" i="18"/>
  <c r="E553" i="18"/>
  <c r="F553" i="18"/>
  <c r="G553" i="18"/>
  <c r="H553" i="18"/>
  <c r="I553" i="18"/>
  <c r="J553" i="18"/>
  <c r="K553" i="18"/>
  <c r="A554" i="18"/>
  <c r="B554" i="18"/>
  <c r="C554" i="18"/>
  <c r="D554" i="18"/>
  <c r="E554" i="18"/>
  <c r="F554" i="18"/>
  <c r="G554" i="18"/>
  <c r="H554" i="18"/>
  <c r="I554" i="18"/>
  <c r="J554" i="18"/>
  <c r="K554" i="18"/>
  <c r="L554" i="18"/>
  <c r="A555" i="18"/>
  <c r="B555" i="18"/>
  <c r="C555" i="18"/>
  <c r="L555" i="18" s="1"/>
  <c r="D555" i="18"/>
  <c r="E555" i="18"/>
  <c r="F555" i="18"/>
  <c r="G555" i="18"/>
  <c r="H555" i="18"/>
  <c r="I555" i="18"/>
  <c r="J555" i="18"/>
  <c r="K555" i="18"/>
  <c r="A556" i="18"/>
  <c r="B556" i="18"/>
  <c r="C556" i="18"/>
  <c r="D556" i="18"/>
  <c r="E556" i="18"/>
  <c r="F556" i="18"/>
  <c r="G556" i="18"/>
  <c r="H556" i="18"/>
  <c r="I556" i="18"/>
  <c r="J556" i="18"/>
  <c r="K556" i="18"/>
  <c r="L556" i="18"/>
  <c r="A557" i="18"/>
  <c r="B557" i="18"/>
  <c r="C557" i="18"/>
  <c r="L557" i="18" s="1"/>
  <c r="D557" i="18"/>
  <c r="E557" i="18"/>
  <c r="F557" i="18"/>
  <c r="G557" i="18"/>
  <c r="H557" i="18"/>
  <c r="I557" i="18"/>
  <c r="J557" i="18"/>
  <c r="K557" i="18"/>
  <c r="A558" i="18"/>
  <c r="B558" i="18"/>
  <c r="C558" i="18"/>
  <c r="D558" i="18"/>
  <c r="E558" i="18"/>
  <c r="F558" i="18"/>
  <c r="G558" i="18"/>
  <c r="H558" i="18"/>
  <c r="I558" i="18"/>
  <c r="J558" i="18"/>
  <c r="K558" i="18"/>
  <c r="L558" i="18"/>
  <c r="A559" i="18"/>
  <c r="B559" i="18"/>
  <c r="C559" i="18"/>
  <c r="L559" i="18" s="1"/>
  <c r="D559" i="18"/>
  <c r="E559" i="18"/>
  <c r="F559" i="18"/>
  <c r="G559" i="18"/>
  <c r="H559" i="18"/>
  <c r="I559" i="18"/>
  <c r="J559" i="18"/>
  <c r="K559" i="18"/>
  <c r="A560" i="18"/>
  <c r="B560" i="18"/>
  <c r="C560" i="18"/>
  <c r="D560" i="18"/>
  <c r="E560" i="18"/>
  <c r="F560" i="18"/>
  <c r="G560" i="18"/>
  <c r="H560" i="18"/>
  <c r="I560" i="18"/>
  <c r="J560" i="18"/>
  <c r="K560" i="18"/>
  <c r="L560" i="18"/>
  <c r="A561" i="18"/>
  <c r="B561" i="18"/>
  <c r="C561" i="18"/>
  <c r="L561" i="18" s="1"/>
  <c r="D561" i="18"/>
  <c r="E561" i="18"/>
  <c r="F561" i="18"/>
  <c r="G561" i="18"/>
  <c r="H561" i="18"/>
  <c r="I561" i="18"/>
  <c r="J561" i="18"/>
  <c r="K561" i="18"/>
  <c r="A562" i="18"/>
  <c r="B562" i="18"/>
  <c r="C562" i="18"/>
  <c r="D562" i="18"/>
  <c r="E562" i="18"/>
  <c r="F562" i="18"/>
  <c r="G562" i="18"/>
  <c r="H562" i="18"/>
  <c r="I562" i="18"/>
  <c r="J562" i="18"/>
  <c r="K562" i="18"/>
  <c r="L562" i="18"/>
  <c r="A563" i="18"/>
  <c r="B563" i="18"/>
  <c r="C563" i="18"/>
  <c r="L563" i="18" s="1"/>
  <c r="D563" i="18"/>
  <c r="E563" i="18"/>
  <c r="F563" i="18"/>
  <c r="G563" i="18"/>
  <c r="H563" i="18"/>
  <c r="I563" i="18"/>
  <c r="J563" i="18"/>
  <c r="K563" i="18"/>
  <c r="A564" i="18"/>
  <c r="B564" i="18"/>
  <c r="C564" i="18"/>
  <c r="D564" i="18"/>
  <c r="E564" i="18"/>
  <c r="F564" i="18"/>
  <c r="G564" i="18"/>
  <c r="H564" i="18"/>
  <c r="I564" i="18"/>
  <c r="J564" i="18"/>
  <c r="K564" i="18"/>
  <c r="L564" i="18"/>
  <c r="A565" i="18"/>
  <c r="B565" i="18"/>
  <c r="C565" i="18"/>
  <c r="L565" i="18" s="1"/>
  <c r="D565" i="18"/>
  <c r="E565" i="18"/>
  <c r="F565" i="18"/>
  <c r="G565" i="18"/>
  <c r="H565" i="18"/>
  <c r="I565" i="18"/>
  <c r="J565" i="18"/>
  <c r="K565" i="18"/>
  <c r="A566" i="18"/>
  <c r="B566" i="18"/>
  <c r="C566" i="18"/>
  <c r="D566" i="18"/>
  <c r="E566" i="18"/>
  <c r="F566" i="18"/>
  <c r="G566" i="18"/>
  <c r="H566" i="18"/>
  <c r="I566" i="18"/>
  <c r="J566" i="18"/>
  <c r="K566" i="18"/>
  <c r="L566" i="18"/>
  <c r="A567" i="18"/>
  <c r="B567" i="18"/>
  <c r="C567" i="18"/>
  <c r="L567" i="18" s="1"/>
  <c r="D567" i="18"/>
  <c r="E567" i="18"/>
  <c r="F567" i="18"/>
  <c r="G567" i="18"/>
  <c r="H567" i="18"/>
  <c r="I567" i="18"/>
  <c r="J567" i="18"/>
  <c r="K567" i="18"/>
  <c r="A568" i="18"/>
  <c r="B568" i="18"/>
  <c r="C568" i="18"/>
  <c r="D568" i="18"/>
  <c r="E568" i="18"/>
  <c r="F568" i="18"/>
  <c r="G568" i="18"/>
  <c r="H568" i="18"/>
  <c r="I568" i="18"/>
  <c r="J568" i="18"/>
  <c r="K568" i="18"/>
  <c r="L568" i="18"/>
  <c r="A569" i="18"/>
  <c r="B569" i="18"/>
  <c r="C569" i="18"/>
  <c r="L569" i="18" s="1"/>
  <c r="D569" i="18"/>
  <c r="E569" i="18"/>
  <c r="F569" i="18"/>
  <c r="G569" i="18"/>
  <c r="H569" i="18"/>
  <c r="I569" i="18"/>
  <c r="J569" i="18"/>
  <c r="K569" i="18"/>
  <c r="A570" i="18"/>
  <c r="B570" i="18"/>
  <c r="C570" i="18"/>
  <c r="D570" i="18"/>
  <c r="E570" i="18"/>
  <c r="F570" i="18"/>
  <c r="G570" i="18"/>
  <c r="H570" i="18"/>
  <c r="I570" i="18"/>
  <c r="J570" i="18"/>
  <c r="K570" i="18"/>
  <c r="L570" i="18"/>
  <c r="A571" i="18"/>
  <c r="B571" i="18"/>
  <c r="C571" i="18"/>
  <c r="L571" i="18" s="1"/>
  <c r="D571" i="18"/>
  <c r="E571" i="18"/>
  <c r="F571" i="18"/>
  <c r="G571" i="18"/>
  <c r="H571" i="18"/>
  <c r="I571" i="18"/>
  <c r="J571" i="18"/>
  <c r="K571" i="18"/>
  <c r="A572" i="18"/>
  <c r="B572" i="18"/>
  <c r="C572" i="18"/>
  <c r="D572" i="18"/>
  <c r="E572" i="18"/>
  <c r="F572" i="18"/>
  <c r="G572" i="18"/>
  <c r="H572" i="18"/>
  <c r="I572" i="18"/>
  <c r="J572" i="18"/>
  <c r="K572" i="18"/>
  <c r="L572" i="18"/>
  <c r="A573" i="18"/>
  <c r="B573" i="18"/>
  <c r="C573" i="18"/>
  <c r="L573" i="18" s="1"/>
  <c r="D573" i="18"/>
  <c r="E573" i="18"/>
  <c r="F573" i="18"/>
  <c r="G573" i="18"/>
  <c r="H573" i="18"/>
  <c r="I573" i="18"/>
  <c r="J573" i="18"/>
  <c r="K573" i="18"/>
  <c r="A574" i="18"/>
  <c r="B574" i="18"/>
  <c r="C574" i="18"/>
  <c r="D574" i="18"/>
  <c r="E574" i="18"/>
  <c r="F574" i="18"/>
  <c r="G574" i="18"/>
  <c r="H574" i="18"/>
  <c r="I574" i="18"/>
  <c r="J574" i="18"/>
  <c r="K574" i="18"/>
  <c r="L574" i="18"/>
  <c r="A575" i="18"/>
  <c r="B575" i="18"/>
  <c r="C575" i="18"/>
  <c r="L575" i="18" s="1"/>
  <c r="D575" i="18"/>
  <c r="E575" i="18"/>
  <c r="F575" i="18"/>
  <c r="G575" i="18"/>
  <c r="H575" i="18"/>
  <c r="I575" i="18"/>
  <c r="J575" i="18"/>
  <c r="K575" i="18"/>
  <c r="A576" i="18"/>
  <c r="B576" i="18"/>
  <c r="C576" i="18"/>
  <c r="D576" i="18"/>
  <c r="E576" i="18"/>
  <c r="F576" i="18"/>
  <c r="G576" i="18"/>
  <c r="H576" i="18"/>
  <c r="I576" i="18"/>
  <c r="J576" i="18"/>
  <c r="K576" i="18"/>
  <c r="L576" i="18"/>
  <c r="A577" i="18"/>
  <c r="B577" i="18"/>
  <c r="C577" i="18"/>
  <c r="L577" i="18" s="1"/>
  <c r="D577" i="18"/>
  <c r="E577" i="18"/>
  <c r="F577" i="18"/>
  <c r="G577" i="18"/>
  <c r="H577" i="18"/>
  <c r="I577" i="18"/>
  <c r="J577" i="18"/>
  <c r="K577" i="18"/>
  <c r="A578" i="18"/>
  <c r="B578" i="18"/>
  <c r="C578" i="18"/>
  <c r="D578" i="18"/>
  <c r="E578" i="18"/>
  <c r="F578" i="18"/>
  <c r="G578" i="18"/>
  <c r="H578" i="18"/>
  <c r="I578" i="18"/>
  <c r="J578" i="18"/>
  <c r="K578" i="18"/>
  <c r="L578" i="18"/>
  <c r="A579" i="18"/>
  <c r="B579" i="18"/>
  <c r="C579" i="18"/>
  <c r="L579" i="18" s="1"/>
  <c r="D579" i="18"/>
  <c r="E579" i="18"/>
  <c r="F579" i="18"/>
  <c r="G579" i="18"/>
  <c r="H579" i="18"/>
  <c r="I579" i="18"/>
  <c r="J579" i="18"/>
  <c r="K579" i="18"/>
  <c r="A580" i="18"/>
  <c r="B580" i="18"/>
  <c r="C580" i="18"/>
  <c r="D580" i="18"/>
  <c r="E580" i="18"/>
  <c r="F580" i="18"/>
  <c r="G580" i="18"/>
  <c r="H580" i="18"/>
  <c r="I580" i="18"/>
  <c r="J580" i="18"/>
  <c r="K580" i="18"/>
  <c r="L580" i="18"/>
  <c r="A581" i="18"/>
  <c r="B581" i="18"/>
  <c r="C581" i="18"/>
  <c r="L581" i="18" s="1"/>
  <c r="D581" i="18"/>
  <c r="E581" i="18"/>
  <c r="F581" i="18"/>
  <c r="G581" i="18"/>
  <c r="H581" i="18"/>
  <c r="I581" i="18"/>
  <c r="J581" i="18"/>
  <c r="K581" i="18"/>
  <c r="A582" i="18"/>
  <c r="B582" i="18"/>
  <c r="C582" i="18"/>
  <c r="D582" i="18"/>
  <c r="E582" i="18"/>
  <c r="F582" i="18"/>
  <c r="G582" i="18"/>
  <c r="H582" i="18"/>
  <c r="I582" i="18"/>
  <c r="J582" i="18"/>
  <c r="K582" i="18"/>
  <c r="L582" i="18"/>
  <c r="A583" i="18"/>
  <c r="B583" i="18"/>
  <c r="C583" i="18"/>
  <c r="L583" i="18" s="1"/>
  <c r="D583" i="18"/>
  <c r="E583" i="18"/>
  <c r="F583" i="18"/>
  <c r="G583" i="18"/>
  <c r="H583" i="18"/>
  <c r="I583" i="18"/>
  <c r="J583" i="18"/>
  <c r="K583" i="18"/>
  <c r="A584" i="18"/>
  <c r="B584" i="18"/>
  <c r="C584" i="18"/>
  <c r="D584" i="18"/>
  <c r="E584" i="18"/>
  <c r="F584" i="18"/>
  <c r="G584" i="18"/>
  <c r="H584" i="18"/>
  <c r="I584" i="18"/>
  <c r="J584" i="18"/>
  <c r="K584" i="18"/>
  <c r="L584" i="18"/>
  <c r="A585" i="18"/>
  <c r="B585" i="18"/>
  <c r="C585" i="18"/>
  <c r="L585" i="18" s="1"/>
  <c r="D585" i="18"/>
  <c r="E585" i="18"/>
  <c r="F585" i="18"/>
  <c r="G585" i="18"/>
  <c r="H585" i="18"/>
  <c r="I585" i="18"/>
  <c r="J585" i="18"/>
  <c r="K585" i="18"/>
  <c r="A586" i="18"/>
  <c r="B586" i="18"/>
  <c r="C586" i="18"/>
  <c r="D586" i="18"/>
  <c r="E586" i="18"/>
  <c r="F586" i="18"/>
  <c r="G586" i="18"/>
  <c r="H586" i="18"/>
  <c r="I586" i="18"/>
  <c r="J586" i="18"/>
  <c r="K586" i="18"/>
  <c r="L586" i="18"/>
  <c r="A587" i="18"/>
  <c r="B587" i="18"/>
  <c r="C587" i="18"/>
  <c r="L587" i="18" s="1"/>
  <c r="D587" i="18"/>
  <c r="E587" i="18"/>
  <c r="F587" i="18"/>
  <c r="G587" i="18"/>
  <c r="H587" i="18"/>
  <c r="I587" i="18"/>
  <c r="J587" i="18"/>
  <c r="K587" i="18"/>
  <c r="A588" i="18"/>
  <c r="B588" i="18"/>
  <c r="C588" i="18"/>
  <c r="D588" i="18"/>
  <c r="E588" i="18"/>
  <c r="F588" i="18"/>
  <c r="G588" i="18"/>
  <c r="H588" i="18"/>
  <c r="I588" i="18"/>
  <c r="J588" i="18"/>
  <c r="K588" i="18"/>
  <c r="L588" i="18"/>
  <c r="A589" i="18"/>
  <c r="B589" i="18"/>
  <c r="C589" i="18"/>
  <c r="L589" i="18" s="1"/>
  <c r="D589" i="18"/>
  <c r="E589" i="18"/>
  <c r="F589" i="18"/>
  <c r="G589" i="18"/>
  <c r="H589" i="18"/>
  <c r="I589" i="18"/>
  <c r="J589" i="18"/>
  <c r="K589" i="18"/>
  <c r="A590" i="18"/>
  <c r="B590" i="18"/>
  <c r="C590" i="18"/>
  <c r="D590" i="18"/>
  <c r="E590" i="18"/>
  <c r="F590" i="18"/>
  <c r="G590" i="18"/>
  <c r="H590" i="18"/>
  <c r="I590" i="18"/>
  <c r="J590" i="18"/>
  <c r="K590" i="18"/>
  <c r="L590" i="18"/>
  <c r="A591" i="18"/>
  <c r="B591" i="18"/>
  <c r="C591" i="18"/>
  <c r="L591" i="18" s="1"/>
  <c r="D591" i="18"/>
  <c r="E591" i="18"/>
  <c r="F591" i="18"/>
  <c r="G591" i="18"/>
  <c r="H591" i="18"/>
  <c r="I591" i="18"/>
  <c r="J591" i="18"/>
  <c r="K591" i="18"/>
  <c r="A592" i="18"/>
  <c r="B592" i="18"/>
  <c r="C592" i="18"/>
  <c r="D592" i="18"/>
  <c r="E592" i="18"/>
  <c r="F592" i="18"/>
  <c r="G592" i="18"/>
  <c r="H592" i="18"/>
  <c r="I592" i="18"/>
  <c r="J592" i="18"/>
  <c r="K592" i="18"/>
  <c r="L592" i="18"/>
  <c r="A593" i="18"/>
  <c r="B593" i="18"/>
  <c r="C593" i="18"/>
  <c r="L593" i="18" s="1"/>
  <c r="D593" i="18"/>
  <c r="E593" i="18"/>
  <c r="F593" i="18"/>
  <c r="G593" i="18"/>
  <c r="H593" i="18"/>
  <c r="I593" i="18"/>
  <c r="J593" i="18"/>
  <c r="K593" i="18"/>
  <c r="A594" i="18"/>
  <c r="B594" i="18"/>
  <c r="C594" i="18"/>
  <c r="D594" i="18"/>
  <c r="E594" i="18"/>
  <c r="F594" i="18"/>
  <c r="G594" i="18"/>
  <c r="H594" i="18"/>
  <c r="I594" i="18"/>
  <c r="J594" i="18"/>
  <c r="K594" i="18"/>
  <c r="L594" i="18"/>
  <c r="A595" i="18"/>
  <c r="B595" i="18"/>
  <c r="C595" i="18"/>
  <c r="L595" i="18" s="1"/>
  <c r="D595" i="18"/>
  <c r="E595" i="18"/>
  <c r="F595" i="18"/>
  <c r="G595" i="18"/>
  <c r="H595" i="18"/>
  <c r="I595" i="18"/>
  <c r="J595" i="18"/>
  <c r="K595" i="18"/>
  <c r="A596" i="18"/>
  <c r="B596" i="18"/>
  <c r="C596" i="18"/>
  <c r="D596" i="18"/>
  <c r="E596" i="18"/>
  <c r="F596" i="18"/>
  <c r="G596" i="18"/>
  <c r="H596" i="18"/>
  <c r="I596" i="18"/>
  <c r="J596" i="18"/>
  <c r="K596" i="18"/>
  <c r="L596" i="18"/>
  <c r="A597" i="18"/>
  <c r="B597" i="18"/>
  <c r="C597" i="18"/>
  <c r="L597" i="18" s="1"/>
  <c r="D597" i="18"/>
  <c r="E597" i="18"/>
  <c r="F597" i="18"/>
  <c r="G597" i="18"/>
  <c r="H597" i="18"/>
  <c r="I597" i="18"/>
  <c r="J597" i="18"/>
  <c r="K597" i="18"/>
  <c r="A598" i="18"/>
  <c r="B598" i="18"/>
  <c r="C598" i="18"/>
  <c r="D598" i="18"/>
  <c r="E598" i="18"/>
  <c r="F598" i="18"/>
  <c r="G598" i="18"/>
  <c r="H598" i="18"/>
  <c r="I598" i="18"/>
  <c r="J598" i="18"/>
  <c r="K598" i="18"/>
  <c r="L598" i="18"/>
  <c r="A599" i="18"/>
  <c r="B599" i="18"/>
  <c r="C599" i="18"/>
  <c r="L599" i="18" s="1"/>
  <c r="D599" i="18"/>
  <c r="E599" i="18"/>
  <c r="F599" i="18"/>
  <c r="G599" i="18"/>
  <c r="H599" i="18"/>
  <c r="I599" i="18"/>
  <c r="J599" i="18"/>
  <c r="K599" i="18"/>
  <c r="A600" i="18"/>
  <c r="B600" i="18"/>
  <c r="C600" i="18"/>
  <c r="D600" i="18"/>
  <c r="E600" i="18"/>
  <c r="F600" i="18"/>
  <c r="G600" i="18"/>
  <c r="H600" i="18"/>
  <c r="I600" i="18"/>
  <c r="J600" i="18"/>
  <c r="K600" i="18"/>
  <c r="L600" i="18"/>
  <c r="A601" i="18"/>
  <c r="B601" i="18"/>
  <c r="C601" i="18"/>
  <c r="L601" i="18" s="1"/>
  <c r="D601" i="18"/>
  <c r="E601" i="18"/>
  <c r="F601" i="18"/>
  <c r="G601" i="18"/>
  <c r="H601" i="18"/>
  <c r="I601" i="18"/>
  <c r="J601" i="18"/>
  <c r="K601" i="18"/>
  <c r="A602" i="18"/>
  <c r="B602" i="18"/>
  <c r="C602" i="18"/>
  <c r="D602" i="18"/>
  <c r="E602" i="18"/>
  <c r="F602" i="18"/>
  <c r="G602" i="18"/>
  <c r="H602" i="18"/>
  <c r="I602" i="18"/>
  <c r="J602" i="18"/>
  <c r="K602" i="18"/>
  <c r="L602" i="18"/>
  <c r="A603" i="18"/>
  <c r="B603" i="18"/>
  <c r="C603" i="18"/>
  <c r="L603" i="18" s="1"/>
  <c r="D603" i="18"/>
  <c r="E603" i="18"/>
  <c r="F603" i="18"/>
  <c r="G603" i="18"/>
  <c r="H603" i="18"/>
  <c r="I603" i="18"/>
  <c r="J603" i="18"/>
  <c r="K603" i="18"/>
  <c r="A604" i="18"/>
  <c r="B604" i="18"/>
  <c r="C604" i="18"/>
  <c r="D604" i="18"/>
  <c r="E604" i="18"/>
  <c r="F604" i="18"/>
  <c r="G604" i="18"/>
  <c r="H604" i="18"/>
  <c r="I604" i="18"/>
  <c r="J604" i="18"/>
  <c r="K604" i="18"/>
  <c r="L604" i="18"/>
  <c r="A605" i="18"/>
  <c r="B605" i="18"/>
  <c r="C605" i="18"/>
  <c r="L605" i="18" s="1"/>
  <c r="D605" i="18"/>
  <c r="E605" i="18"/>
  <c r="F605" i="18"/>
  <c r="G605" i="18"/>
  <c r="H605" i="18"/>
  <c r="I605" i="18"/>
  <c r="J605" i="18"/>
  <c r="K605" i="18"/>
  <c r="A606" i="18"/>
  <c r="B606" i="18"/>
  <c r="C606" i="18"/>
  <c r="D606" i="18"/>
  <c r="E606" i="18"/>
  <c r="F606" i="18"/>
  <c r="G606" i="18"/>
  <c r="H606" i="18"/>
  <c r="I606" i="18"/>
  <c r="J606" i="18"/>
  <c r="K606" i="18"/>
  <c r="L606" i="18"/>
  <c r="A607" i="18"/>
  <c r="B607" i="18"/>
  <c r="C607" i="18"/>
  <c r="L607" i="18" s="1"/>
  <c r="D607" i="18"/>
  <c r="E607" i="18"/>
  <c r="F607" i="18"/>
  <c r="G607" i="18"/>
  <c r="H607" i="18"/>
  <c r="I607" i="18"/>
  <c r="J607" i="18"/>
  <c r="K607" i="18"/>
  <c r="A608" i="18"/>
  <c r="B608" i="18"/>
  <c r="C608" i="18"/>
  <c r="D608" i="18"/>
  <c r="E608" i="18"/>
  <c r="F608" i="18"/>
  <c r="G608" i="18"/>
  <c r="H608" i="18"/>
  <c r="I608" i="18"/>
  <c r="J608" i="18"/>
  <c r="K608" i="18"/>
  <c r="L608" i="18"/>
  <c r="A609" i="18"/>
  <c r="B609" i="18"/>
  <c r="C609" i="18"/>
  <c r="L609" i="18" s="1"/>
  <c r="D609" i="18"/>
  <c r="E609" i="18"/>
  <c r="F609" i="18"/>
  <c r="G609" i="18"/>
  <c r="H609" i="18"/>
  <c r="I609" i="18"/>
  <c r="J609" i="18"/>
  <c r="K609" i="18"/>
  <c r="A610" i="18"/>
  <c r="B610" i="18"/>
  <c r="C610" i="18"/>
  <c r="D610" i="18"/>
  <c r="E610" i="18"/>
  <c r="F610" i="18"/>
  <c r="G610" i="18"/>
  <c r="H610" i="18"/>
  <c r="I610" i="18"/>
  <c r="J610" i="18"/>
  <c r="K610" i="18"/>
  <c r="L610" i="18"/>
  <c r="A611" i="18"/>
  <c r="B611" i="18"/>
  <c r="C611" i="18"/>
  <c r="L611" i="18" s="1"/>
  <c r="D611" i="18"/>
  <c r="E611" i="18"/>
  <c r="F611" i="18"/>
  <c r="G611" i="18"/>
  <c r="H611" i="18"/>
  <c r="I611" i="18"/>
  <c r="J611" i="18"/>
  <c r="K611" i="18"/>
  <c r="A612" i="18"/>
  <c r="B612" i="18"/>
  <c r="C612" i="18"/>
  <c r="D612" i="18"/>
  <c r="E612" i="18"/>
  <c r="F612" i="18"/>
  <c r="G612" i="18"/>
  <c r="H612" i="18"/>
  <c r="I612" i="18"/>
  <c r="J612" i="18"/>
  <c r="K612" i="18"/>
  <c r="L612" i="18"/>
  <c r="A613" i="18"/>
  <c r="B613" i="18"/>
  <c r="C613" i="18"/>
  <c r="L613" i="18" s="1"/>
  <c r="D613" i="18"/>
  <c r="E613" i="18"/>
  <c r="F613" i="18"/>
  <c r="G613" i="18"/>
  <c r="H613" i="18"/>
  <c r="I613" i="18"/>
  <c r="J613" i="18"/>
  <c r="K613" i="18"/>
  <c r="A614" i="18"/>
  <c r="B614" i="18"/>
  <c r="C614" i="18"/>
  <c r="D614" i="18"/>
  <c r="E614" i="18"/>
  <c r="F614" i="18"/>
  <c r="G614" i="18"/>
  <c r="H614" i="18"/>
  <c r="I614" i="18"/>
  <c r="J614" i="18"/>
  <c r="K614" i="18"/>
  <c r="L614" i="18"/>
  <c r="A615" i="18"/>
  <c r="B615" i="18"/>
  <c r="C615" i="18"/>
  <c r="L615" i="18" s="1"/>
  <c r="D615" i="18"/>
  <c r="E615" i="18"/>
  <c r="F615" i="18"/>
  <c r="G615" i="18"/>
  <c r="H615" i="18"/>
  <c r="I615" i="18"/>
  <c r="J615" i="18"/>
  <c r="K615" i="18"/>
  <c r="A616" i="18"/>
  <c r="B616" i="18"/>
  <c r="C616" i="18"/>
  <c r="D616" i="18"/>
  <c r="E616" i="18"/>
  <c r="F616" i="18"/>
  <c r="G616" i="18"/>
  <c r="H616" i="18"/>
  <c r="I616" i="18"/>
  <c r="J616" i="18"/>
  <c r="K616" i="18"/>
  <c r="L616" i="18"/>
  <c r="A617" i="18"/>
  <c r="B617" i="18"/>
  <c r="C617" i="18"/>
  <c r="L617" i="18" s="1"/>
  <c r="D617" i="18"/>
  <c r="E617" i="18"/>
  <c r="F617" i="18"/>
  <c r="G617" i="18"/>
  <c r="H617" i="18"/>
  <c r="I617" i="18"/>
  <c r="J617" i="18"/>
  <c r="K617" i="18"/>
  <c r="A618" i="18"/>
  <c r="B618" i="18"/>
  <c r="C618" i="18"/>
  <c r="D618" i="18"/>
  <c r="E618" i="18"/>
  <c r="F618" i="18"/>
  <c r="G618" i="18"/>
  <c r="H618" i="18"/>
  <c r="I618" i="18"/>
  <c r="J618" i="18"/>
  <c r="K618" i="18"/>
  <c r="L618" i="18"/>
  <c r="A619" i="18"/>
  <c r="B619" i="18"/>
  <c r="C619" i="18"/>
  <c r="L619" i="18" s="1"/>
  <c r="D619" i="18"/>
  <c r="E619" i="18"/>
  <c r="F619" i="18"/>
  <c r="G619" i="18"/>
  <c r="H619" i="18"/>
  <c r="I619" i="18"/>
  <c r="J619" i="18"/>
  <c r="K619" i="18"/>
  <c r="A620" i="18"/>
  <c r="B620" i="18"/>
  <c r="C620" i="18"/>
  <c r="D620" i="18"/>
  <c r="E620" i="18"/>
  <c r="F620" i="18"/>
  <c r="G620" i="18"/>
  <c r="H620" i="18"/>
  <c r="I620" i="18"/>
  <c r="J620" i="18"/>
  <c r="K620" i="18"/>
  <c r="L620" i="18"/>
  <c r="A621" i="18"/>
  <c r="B621" i="18"/>
  <c r="C621" i="18"/>
  <c r="L621" i="18" s="1"/>
  <c r="D621" i="18"/>
  <c r="E621" i="18"/>
  <c r="F621" i="18"/>
  <c r="G621" i="18"/>
  <c r="H621" i="18"/>
  <c r="I621" i="18"/>
  <c r="J621" i="18"/>
  <c r="K621" i="18"/>
  <c r="A622" i="18"/>
  <c r="B622" i="18"/>
  <c r="C622" i="18"/>
  <c r="D622" i="18"/>
  <c r="E622" i="18"/>
  <c r="F622" i="18"/>
  <c r="G622" i="18"/>
  <c r="H622" i="18"/>
  <c r="I622" i="18"/>
  <c r="J622" i="18"/>
  <c r="K622" i="18"/>
  <c r="L622" i="18"/>
  <c r="A623" i="18"/>
  <c r="B623" i="18"/>
  <c r="C623" i="18"/>
  <c r="L623" i="18" s="1"/>
  <c r="D623" i="18"/>
  <c r="E623" i="18"/>
  <c r="F623" i="18"/>
  <c r="G623" i="18"/>
  <c r="H623" i="18"/>
  <c r="I623" i="18"/>
  <c r="J623" i="18"/>
  <c r="K623" i="18"/>
  <c r="A624" i="18"/>
  <c r="B624" i="18"/>
  <c r="C624" i="18"/>
  <c r="D624" i="18"/>
  <c r="E624" i="18"/>
  <c r="F624" i="18"/>
  <c r="G624" i="18"/>
  <c r="H624" i="18"/>
  <c r="I624" i="18"/>
  <c r="J624" i="18"/>
  <c r="K624" i="18"/>
  <c r="L624" i="18"/>
  <c r="A625" i="18"/>
  <c r="B625" i="18"/>
  <c r="C625" i="18"/>
  <c r="L625" i="18" s="1"/>
  <c r="D625" i="18"/>
  <c r="E625" i="18"/>
  <c r="F625" i="18"/>
  <c r="G625" i="18"/>
  <c r="H625" i="18"/>
  <c r="I625" i="18"/>
  <c r="J625" i="18"/>
  <c r="K625" i="18"/>
  <c r="A626" i="18"/>
  <c r="B626" i="18"/>
  <c r="C626" i="18"/>
  <c r="D626" i="18"/>
  <c r="E626" i="18"/>
  <c r="F626" i="18"/>
  <c r="G626" i="18"/>
  <c r="H626" i="18"/>
  <c r="I626" i="18"/>
  <c r="J626" i="18"/>
  <c r="K626" i="18"/>
  <c r="L626" i="18"/>
  <c r="A627" i="18"/>
  <c r="B627" i="18"/>
  <c r="C627" i="18"/>
  <c r="L627" i="18" s="1"/>
  <c r="D627" i="18"/>
  <c r="E627" i="18"/>
  <c r="F627" i="18"/>
  <c r="G627" i="18"/>
  <c r="H627" i="18"/>
  <c r="I627" i="18"/>
  <c r="J627" i="18"/>
  <c r="K627" i="18"/>
  <c r="A628" i="18"/>
  <c r="B628" i="18"/>
  <c r="C628" i="18"/>
  <c r="D628" i="18"/>
  <c r="E628" i="18"/>
  <c r="F628" i="18"/>
  <c r="G628" i="18"/>
  <c r="H628" i="18"/>
  <c r="I628" i="18"/>
  <c r="J628" i="18"/>
  <c r="K628" i="18"/>
  <c r="L628" i="18"/>
  <c r="A629" i="18"/>
  <c r="B629" i="18"/>
  <c r="C629" i="18"/>
  <c r="L629" i="18" s="1"/>
  <c r="D629" i="18"/>
  <c r="E629" i="18"/>
  <c r="F629" i="18"/>
  <c r="G629" i="18"/>
  <c r="H629" i="18"/>
  <c r="I629" i="18"/>
  <c r="J629" i="18"/>
  <c r="K629" i="18"/>
  <c r="A630" i="18"/>
  <c r="B630" i="18"/>
  <c r="C630" i="18"/>
  <c r="D630" i="18"/>
  <c r="E630" i="18"/>
  <c r="F630" i="18"/>
  <c r="G630" i="18"/>
  <c r="H630" i="18"/>
  <c r="I630" i="18"/>
  <c r="J630" i="18"/>
  <c r="K630" i="18"/>
  <c r="L630" i="18"/>
  <c r="A631" i="18"/>
  <c r="B631" i="18"/>
  <c r="C631" i="18"/>
  <c r="L631" i="18" s="1"/>
  <c r="D631" i="18"/>
  <c r="E631" i="18"/>
  <c r="F631" i="18"/>
  <c r="G631" i="18"/>
  <c r="H631" i="18"/>
  <c r="I631" i="18"/>
  <c r="J631" i="18"/>
  <c r="K631" i="18"/>
  <c r="A632" i="18"/>
  <c r="B632" i="18"/>
  <c r="C632" i="18"/>
  <c r="D632" i="18"/>
  <c r="E632" i="18"/>
  <c r="F632" i="18"/>
  <c r="G632" i="18"/>
  <c r="H632" i="18"/>
  <c r="I632" i="18"/>
  <c r="J632" i="18"/>
  <c r="K632" i="18"/>
  <c r="L632" i="18"/>
  <c r="A633" i="18"/>
  <c r="B633" i="18"/>
  <c r="C633" i="18"/>
  <c r="L633" i="18" s="1"/>
  <c r="D633" i="18"/>
  <c r="E633" i="18"/>
  <c r="F633" i="18"/>
  <c r="G633" i="18"/>
  <c r="H633" i="18"/>
  <c r="I633" i="18"/>
  <c r="J633" i="18"/>
  <c r="K633" i="18"/>
  <c r="A634" i="18"/>
  <c r="B634" i="18"/>
  <c r="C634" i="18"/>
  <c r="D634" i="18"/>
  <c r="E634" i="18"/>
  <c r="F634" i="18"/>
  <c r="G634" i="18"/>
  <c r="H634" i="18"/>
  <c r="I634" i="18"/>
  <c r="J634" i="18"/>
  <c r="K634" i="18"/>
  <c r="L634" i="18"/>
  <c r="A635" i="18"/>
  <c r="B635" i="18"/>
  <c r="C635" i="18"/>
  <c r="L635" i="18" s="1"/>
  <c r="D635" i="18"/>
  <c r="E635" i="18"/>
  <c r="F635" i="18"/>
  <c r="G635" i="18"/>
  <c r="H635" i="18"/>
  <c r="I635" i="18"/>
  <c r="J635" i="18"/>
  <c r="K635" i="18"/>
  <c r="A636" i="18"/>
  <c r="B636" i="18"/>
  <c r="C636" i="18"/>
  <c r="D636" i="18"/>
  <c r="E636" i="18"/>
  <c r="F636" i="18"/>
  <c r="G636" i="18"/>
  <c r="H636" i="18"/>
  <c r="I636" i="18"/>
  <c r="J636" i="18"/>
  <c r="K636" i="18"/>
  <c r="L636" i="18"/>
  <c r="A637" i="18"/>
  <c r="B637" i="18"/>
  <c r="C637" i="18"/>
  <c r="L637" i="18" s="1"/>
  <c r="D637" i="18"/>
  <c r="E637" i="18"/>
  <c r="F637" i="18"/>
  <c r="G637" i="18"/>
  <c r="H637" i="18"/>
  <c r="I637" i="18"/>
  <c r="J637" i="18"/>
  <c r="K637" i="18"/>
  <c r="A638" i="18"/>
  <c r="B638" i="18"/>
  <c r="C638" i="18"/>
  <c r="D638" i="18"/>
  <c r="E638" i="18"/>
  <c r="F638" i="18"/>
  <c r="G638" i="18"/>
  <c r="H638" i="18"/>
  <c r="I638" i="18"/>
  <c r="J638" i="18"/>
  <c r="K638" i="18"/>
  <c r="L638" i="18"/>
  <c r="A639" i="18"/>
  <c r="B639" i="18"/>
  <c r="C639" i="18"/>
  <c r="L639" i="18" s="1"/>
  <c r="D639" i="18"/>
  <c r="E639" i="18"/>
  <c r="F639" i="18"/>
  <c r="G639" i="18"/>
  <c r="H639" i="18"/>
  <c r="I639" i="18"/>
  <c r="J639" i="18"/>
  <c r="K639" i="18"/>
  <c r="A640" i="18"/>
  <c r="B640" i="18"/>
  <c r="C640" i="18"/>
  <c r="D640" i="18"/>
  <c r="E640" i="18"/>
  <c r="F640" i="18"/>
  <c r="G640" i="18"/>
  <c r="H640" i="18"/>
  <c r="I640" i="18"/>
  <c r="J640" i="18"/>
  <c r="K640" i="18"/>
  <c r="L640" i="18"/>
  <c r="A641" i="18"/>
  <c r="B641" i="18"/>
  <c r="C641" i="18"/>
  <c r="L641" i="18" s="1"/>
  <c r="D641" i="18"/>
  <c r="E641" i="18"/>
  <c r="F641" i="18"/>
  <c r="G641" i="18"/>
  <c r="H641" i="18"/>
  <c r="I641" i="18"/>
  <c r="J641" i="18"/>
  <c r="K641" i="18"/>
  <c r="A642" i="18"/>
  <c r="B642" i="18"/>
  <c r="C642" i="18"/>
  <c r="D642" i="18"/>
  <c r="E642" i="18"/>
  <c r="F642" i="18"/>
  <c r="G642" i="18"/>
  <c r="H642" i="18"/>
  <c r="I642" i="18"/>
  <c r="J642" i="18"/>
  <c r="K642" i="18"/>
  <c r="L642" i="18"/>
  <c r="A643" i="18"/>
  <c r="B643" i="18"/>
  <c r="C643" i="18"/>
  <c r="L643" i="18" s="1"/>
  <c r="D643" i="18"/>
  <c r="E643" i="18"/>
  <c r="F643" i="18"/>
  <c r="G643" i="18"/>
  <c r="H643" i="18"/>
  <c r="I643" i="18"/>
  <c r="J643" i="18"/>
  <c r="K643" i="18"/>
  <c r="A644" i="18"/>
  <c r="B644" i="18"/>
  <c r="C644" i="18"/>
  <c r="D644" i="18"/>
  <c r="E644" i="18"/>
  <c r="F644" i="18"/>
  <c r="G644" i="18"/>
  <c r="H644" i="18"/>
  <c r="I644" i="18"/>
  <c r="J644" i="18"/>
  <c r="K644" i="18"/>
  <c r="L644" i="18"/>
  <c r="A645" i="18"/>
  <c r="B645" i="18"/>
  <c r="C645" i="18"/>
  <c r="L645" i="18" s="1"/>
  <c r="D645" i="18"/>
  <c r="E645" i="18"/>
  <c r="F645" i="18"/>
  <c r="G645" i="18"/>
  <c r="H645" i="18"/>
  <c r="I645" i="18"/>
  <c r="J645" i="18"/>
  <c r="K645" i="18"/>
  <c r="A646" i="18"/>
  <c r="B646" i="18"/>
  <c r="C646" i="18"/>
  <c r="D646" i="18"/>
  <c r="E646" i="18"/>
  <c r="F646" i="18"/>
  <c r="G646" i="18"/>
  <c r="H646" i="18"/>
  <c r="I646" i="18"/>
  <c r="J646" i="18"/>
  <c r="K646" i="18"/>
  <c r="L646" i="18"/>
  <c r="A647" i="18"/>
  <c r="B647" i="18"/>
  <c r="C647" i="18"/>
  <c r="L647" i="18" s="1"/>
  <c r="D647" i="18"/>
  <c r="E647" i="18"/>
  <c r="F647" i="18"/>
  <c r="G647" i="18"/>
  <c r="H647" i="18"/>
  <c r="I647" i="18"/>
  <c r="J647" i="18"/>
  <c r="K647" i="18"/>
  <c r="A648" i="18"/>
  <c r="B648" i="18"/>
  <c r="C648" i="18"/>
  <c r="D648" i="18"/>
  <c r="E648" i="18"/>
  <c r="F648" i="18"/>
  <c r="G648" i="18"/>
  <c r="H648" i="18"/>
  <c r="I648" i="18"/>
  <c r="J648" i="18"/>
  <c r="K648" i="18"/>
  <c r="L648" i="18"/>
  <c r="A649" i="18"/>
  <c r="B649" i="18"/>
  <c r="C649" i="18"/>
  <c r="L649" i="18" s="1"/>
  <c r="D649" i="18"/>
  <c r="E649" i="18"/>
  <c r="F649" i="18"/>
  <c r="G649" i="18"/>
  <c r="H649" i="18"/>
  <c r="I649" i="18"/>
  <c r="J649" i="18"/>
  <c r="K649" i="18"/>
  <c r="A650" i="18"/>
  <c r="B650" i="18"/>
  <c r="C650" i="18"/>
  <c r="D650" i="18"/>
  <c r="E650" i="18"/>
  <c r="F650" i="18"/>
  <c r="G650" i="18"/>
  <c r="H650" i="18"/>
  <c r="I650" i="18"/>
  <c r="J650" i="18"/>
  <c r="K650" i="18"/>
  <c r="L650" i="18"/>
  <c r="A651" i="18"/>
  <c r="B651" i="18"/>
  <c r="C651" i="18"/>
  <c r="L651" i="18" s="1"/>
  <c r="D651" i="18"/>
  <c r="E651" i="18"/>
  <c r="F651" i="18"/>
  <c r="G651" i="18"/>
  <c r="H651" i="18"/>
  <c r="I651" i="18"/>
  <c r="J651" i="18"/>
  <c r="K651" i="18"/>
  <c r="A652" i="18"/>
  <c r="B652" i="18"/>
  <c r="C652" i="18"/>
  <c r="D652" i="18"/>
  <c r="E652" i="18"/>
  <c r="F652" i="18"/>
  <c r="G652" i="18"/>
  <c r="H652" i="18"/>
  <c r="I652" i="18"/>
  <c r="J652" i="18"/>
  <c r="K652" i="18"/>
  <c r="L652" i="18"/>
  <c r="A653" i="18"/>
  <c r="B653" i="18"/>
  <c r="C653" i="18"/>
  <c r="L653" i="18" s="1"/>
  <c r="D653" i="18"/>
  <c r="E653" i="18"/>
  <c r="F653" i="18"/>
  <c r="G653" i="18"/>
  <c r="H653" i="18"/>
  <c r="I653" i="18"/>
  <c r="J653" i="18"/>
  <c r="K653" i="18"/>
  <c r="A654" i="18"/>
  <c r="B654" i="18"/>
  <c r="C654" i="18"/>
  <c r="D654" i="18"/>
  <c r="E654" i="18"/>
  <c r="F654" i="18"/>
  <c r="G654" i="18"/>
  <c r="H654" i="18"/>
  <c r="I654" i="18"/>
  <c r="J654" i="18"/>
  <c r="K654" i="18"/>
  <c r="L654" i="18"/>
  <c r="A655" i="18"/>
  <c r="B655" i="18"/>
  <c r="C655" i="18"/>
  <c r="L655" i="18" s="1"/>
  <c r="D655" i="18"/>
  <c r="E655" i="18"/>
  <c r="F655" i="18"/>
  <c r="G655" i="18"/>
  <c r="H655" i="18"/>
  <c r="I655" i="18"/>
  <c r="J655" i="18"/>
  <c r="K655" i="18"/>
  <c r="A656" i="18"/>
  <c r="B656" i="18"/>
  <c r="C656" i="18"/>
  <c r="D656" i="18"/>
  <c r="E656" i="18"/>
  <c r="F656" i="18"/>
  <c r="G656" i="18"/>
  <c r="H656" i="18"/>
  <c r="I656" i="18"/>
  <c r="J656" i="18"/>
  <c r="K656" i="18"/>
  <c r="L656" i="18"/>
  <c r="A657" i="18"/>
  <c r="B657" i="18"/>
  <c r="C657" i="18"/>
  <c r="L657" i="18" s="1"/>
  <c r="D657" i="18"/>
  <c r="E657" i="18"/>
  <c r="F657" i="18"/>
  <c r="G657" i="18"/>
  <c r="H657" i="18"/>
  <c r="I657" i="18"/>
  <c r="J657" i="18"/>
  <c r="K657" i="18"/>
  <c r="A658" i="18"/>
  <c r="B658" i="18"/>
  <c r="C658" i="18"/>
  <c r="D658" i="18"/>
  <c r="E658" i="18"/>
  <c r="F658" i="18"/>
  <c r="G658" i="18"/>
  <c r="H658" i="18"/>
  <c r="I658" i="18"/>
  <c r="J658" i="18"/>
  <c r="K658" i="18"/>
  <c r="L658" i="18"/>
  <c r="A659" i="18"/>
  <c r="B659" i="18"/>
  <c r="C659" i="18"/>
  <c r="L659" i="18" s="1"/>
  <c r="D659" i="18"/>
  <c r="E659" i="18"/>
  <c r="F659" i="18"/>
  <c r="G659" i="18"/>
  <c r="H659" i="18"/>
  <c r="I659" i="18"/>
  <c r="J659" i="18"/>
  <c r="K659" i="18"/>
  <c r="A660" i="18"/>
  <c r="B660" i="18"/>
  <c r="C660" i="18"/>
  <c r="D660" i="18"/>
  <c r="E660" i="18"/>
  <c r="F660" i="18"/>
  <c r="G660" i="18"/>
  <c r="H660" i="18"/>
  <c r="I660" i="18"/>
  <c r="J660" i="18"/>
  <c r="K660" i="18"/>
  <c r="L660" i="18"/>
  <c r="A661" i="18"/>
  <c r="B661" i="18"/>
  <c r="C661" i="18"/>
  <c r="L661" i="18" s="1"/>
  <c r="D661" i="18"/>
  <c r="E661" i="18"/>
  <c r="F661" i="18"/>
  <c r="G661" i="18"/>
  <c r="H661" i="18"/>
  <c r="I661" i="18"/>
  <c r="J661" i="18"/>
  <c r="K661" i="18"/>
  <c r="A662" i="18"/>
  <c r="B662" i="18"/>
  <c r="C662" i="18"/>
  <c r="D662" i="18"/>
  <c r="E662" i="18"/>
  <c r="F662" i="18"/>
  <c r="G662" i="18"/>
  <c r="H662" i="18"/>
  <c r="I662" i="18"/>
  <c r="J662" i="18"/>
  <c r="K662" i="18"/>
  <c r="L662" i="18"/>
  <c r="A663" i="18"/>
  <c r="B663" i="18"/>
  <c r="C663" i="18"/>
  <c r="L663" i="18" s="1"/>
  <c r="D663" i="18"/>
  <c r="E663" i="18"/>
  <c r="F663" i="18"/>
  <c r="G663" i="18"/>
  <c r="H663" i="18"/>
  <c r="I663" i="18"/>
  <c r="J663" i="18"/>
  <c r="K663" i="18"/>
  <c r="A664" i="18"/>
  <c r="B664" i="18"/>
  <c r="C664" i="18"/>
  <c r="D664" i="18"/>
  <c r="E664" i="18"/>
  <c r="F664" i="18"/>
  <c r="G664" i="18"/>
  <c r="H664" i="18"/>
  <c r="I664" i="18"/>
  <c r="J664" i="18"/>
  <c r="K664" i="18"/>
  <c r="L664" i="18"/>
  <c r="A665" i="18"/>
  <c r="B665" i="18"/>
  <c r="C665" i="18"/>
  <c r="L665" i="18" s="1"/>
  <c r="D665" i="18"/>
  <c r="E665" i="18"/>
  <c r="F665" i="18"/>
  <c r="G665" i="18"/>
  <c r="H665" i="18"/>
  <c r="I665" i="18"/>
  <c r="J665" i="18"/>
  <c r="K665" i="18"/>
  <c r="A666" i="18"/>
  <c r="B666" i="18"/>
  <c r="C666" i="18"/>
  <c r="D666" i="18"/>
  <c r="E666" i="18"/>
  <c r="F666" i="18"/>
  <c r="G666" i="18"/>
  <c r="H666" i="18"/>
  <c r="I666" i="18"/>
  <c r="J666" i="18"/>
  <c r="K666" i="18"/>
  <c r="L666" i="18"/>
  <c r="A667" i="18"/>
  <c r="B667" i="18"/>
  <c r="C667" i="18"/>
  <c r="L667" i="18" s="1"/>
  <c r="D667" i="18"/>
  <c r="E667" i="18"/>
  <c r="F667" i="18"/>
  <c r="G667" i="18"/>
  <c r="H667" i="18"/>
  <c r="I667" i="18"/>
  <c r="J667" i="18"/>
  <c r="K667" i="18"/>
  <c r="A668" i="18"/>
  <c r="B668" i="18"/>
  <c r="C668" i="18"/>
  <c r="D668" i="18"/>
  <c r="E668" i="18"/>
  <c r="F668" i="18"/>
  <c r="G668" i="18"/>
  <c r="H668" i="18"/>
  <c r="I668" i="18"/>
  <c r="J668" i="18"/>
  <c r="K668" i="18"/>
  <c r="L668" i="18"/>
  <c r="A669" i="18"/>
  <c r="B669" i="18"/>
  <c r="C669" i="18"/>
  <c r="L669" i="18" s="1"/>
  <c r="D669" i="18"/>
  <c r="E669" i="18"/>
  <c r="F669" i="18"/>
  <c r="G669" i="18"/>
  <c r="H669" i="18"/>
  <c r="I669" i="18"/>
  <c r="J669" i="18"/>
  <c r="K669" i="18"/>
  <c r="A670" i="18"/>
  <c r="B670" i="18"/>
  <c r="C670" i="18"/>
  <c r="D670" i="18"/>
  <c r="E670" i="18"/>
  <c r="F670" i="18"/>
  <c r="G670" i="18"/>
  <c r="H670" i="18"/>
  <c r="I670" i="18"/>
  <c r="J670" i="18"/>
  <c r="K670" i="18"/>
  <c r="L670" i="18"/>
  <c r="A671" i="18"/>
  <c r="B671" i="18"/>
  <c r="C671" i="18"/>
  <c r="L671" i="18" s="1"/>
  <c r="D671" i="18"/>
  <c r="E671" i="18"/>
  <c r="F671" i="18"/>
  <c r="G671" i="18"/>
  <c r="H671" i="18"/>
  <c r="I671" i="18"/>
  <c r="J671" i="18"/>
  <c r="K671" i="18"/>
  <c r="A672" i="18"/>
  <c r="B672" i="18"/>
  <c r="C672" i="18"/>
  <c r="D672" i="18"/>
  <c r="E672" i="18"/>
  <c r="F672" i="18"/>
  <c r="G672" i="18"/>
  <c r="H672" i="18"/>
  <c r="I672" i="18"/>
  <c r="J672" i="18"/>
  <c r="K672" i="18"/>
  <c r="L672" i="18"/>
  <c r="A673" i="18"/>
  <c r="B673" i="18"/>
  <c r="C673" i="18"/>
  <c r="L673" i="18" s="1"/>
  <c r="D673" i="18"/>
  <c r="E673" i="18"/>
  <c r="F673" i="18"/>
  <c r="G673" i="18"/>
  <c r="H673" i="18"/>
  <c r="I673" i="18"/>
  <c r="J673" i="18"/>
  <c r="K673" i="18"/>
  <c r="A674" i="18"/>
  <c r="B674" i="18"/>
  <c r="C674" i="18"/>
  <c r="D674" i="18"/>
  <c r="E674" i="18"/>
  <c r="F674" i="18"/>
  <c r="G674" i="18"/>
  <c r="H674" i="18"/>
  <c r="I674" i="18"/>
  <c r="J674" i="18"/>
  <c r="K674" i="18"/>
  <c r="L674" i="18"/>
  <c r="A675" i="18"/>
  <c r="B675" i="18"/>
  <c r="C675" i="18"/>
  <c r="L675" i="18" s="1"/>
  <c r="D675" i="18"/>
  <c r="E675" i="18"/>
  <c r="F675" i="18"/>
  <c r="G675" i="18"/>
  <c r="H675" i="18"/>
  <c r="I675" i="18"/>
  <c r="J675" i="18"/>
  <c r="K675" i="18"/>
  <c r="A676" i="18"/>
  <c r="B676" i="18"/>
  <c r="C676" i="18"/>
  <c r="D676" i="18"/>
  <c r="E676" i="18"/>
  <c r="F676" i="18"/>
  <c r="G676" i="18"/>
  <c r="H676" i="18"/>
  <c r="I676" i="18"/>
  <c r="J676" i="18"/>
  <c r="K676" i="18"/>
  <c r="L676" i="18"/>
  <c r="A677" i="18"/>
  <c r="B677" i="18"/>
  <c r="C677" i="18"/>
  <c r="L677" i="18" s="1"/>
  <c r="D677" i="18"/>
  <c r="E677" i="18"/>
  <c r="F677" i="18"/>
  <c r="G677" i="18"/>
  <c r="H677" i="18"/>
  <c r="I677" i="18"/>
  <c r="J677" i="18"/>
  <c r="K677" i="18"/>
  <c r="A678" i="18"/>
  <c r="B678" i="18"/>
  <c r="C678" i="18"/>
  <c r="D678" i="18"/>
  <c r="E678" i="18"/>
  <c r="F678" i="18"/>
  <c r="G678" i="18"/>
  <c r="H678" i="18"/>
  <c r="I678" i="18"/>
  <c r="J678" i="18"/>
  <c r="K678" i="18"/>
  <c r="L678" i="18"/>
  <c r="A679" i="18"/>
  <c r="B679" i="18"/>
  <c r="C679" i="18"/>
  <c r="L679" i="18" s="1"/>
  <c r="D679" i="18"/>
  <c r="E679" i="18"/>
  <c r="F679" i="18"/>
  <c r="G679" i="18"/>
  <c r="H679" i="18"/>
  <c r="I679" i="18"/>
  <c r="J679" i="18"/>
  <c r="K679" i="18"/>
  <c r="A680" i="18"/>
  <c r="B680" i="18"/>
  <c r="C680" i="18"/>
  <c r="D680" i="18"/>
  <c r="E680" i="18"/>
  <c r="F680" i="18"/>
  <c r="G680" i="18"/>
  <c r="H680" i="18"/>
  <c r="I680" i="18"/>
  <c r="J680" i="18"/>
  <c r="K680" i="18"/>
  <c r="L680" i="18"/>
  <c r="A681" i="18"/>
  <c r="B681" i="18"/>
  <c r="C681" i="18"/>
  <c r="L681" i="18" s="1"/>
  <c r="D681" i="18"/>
  <c r="E681" i="18"/>
  <c r="F681" i="18"/>
  <c r="G681" i="18"/>
  <c r="H681" i="18"/>
  <c r="I681" i="18"/>
  <c r="J681" i="18"/>
  <c r="K681" i="18"/>
  <c r="A682" i="18"/>
  <c r="B682" i="18"/>
  <c r="C682" i="18"/>
  <c r="D682" i="18"/>
  <c r="E682" i="18"/>
  <c r="F682" i="18"/>
  <c r="G682" i="18"/>
  <c r="H682" i="18"/>
  <c r="I682" i="18"/>
  <c r="J682" i="18"/>
  <c r="K682" i="18"/>
  <c r="L682" i="18"/>
  <c r="A683" i="18"/>
  <c r="B683" i="18"/>
  <c r="C683" i="18"/>
  <c r="L683" i="18" s="1"/>
  <c r="D683" i="18"/>
  <c r="E683" i="18"/>
  <c r="F683" i="18"/>
  <c r="G683" i="18"/>
  <c r="H683" i="18"/>
  <c r="I683" i="18"/>
  <c r="J683" i="18"/>
  <c r="K683" i="18"/>
  <c r="A684" i="18"/>
  <c r="B684" i="18"/>
  <c r="C684" i="18"/>
  <c r="D684" i="18"/>
  <c r="E684" i="18"/>
  <c r="F684" i="18"/>
  <c r="G684" i="18"/>
  <c r="H684" i="18"/>
  <c r="I684" i="18"/>
  <c r="J684" i="18"/>
  <c r="K684" i="18"/>
  <c r="L684" i="18"/>
  <c r="A685" i="18"/>
  <c r="B685" i="18"/>
  <c r="C685" i="18"/>
  <c r="L685" i="18" s="1"/>
  <c r="D685" i="18"/>
  <c r="E685" i="18"/>
  <c r="F685" i="18"/>
  <c r="G685" i="18"/>
  <c r="H685" i="18"/>
  <c r="I685" i="18"/>
  <c r="J685" i="18"/>
  <c r="K685" i="18"/>
  <c r="A686" i="18"/>
  <c r="B686" i="18"/>
  <c r="C686" i="18"/>
  <c r="D686" i="18"/>
  <c r="E686" i="18"/>
  <c r="F686" i="18"/>
  <c r="G686" i="18"/>
  <c r="H686" i="18"/>
  <c r="I686" i="18"/>
  <c r="J686" i="18"/>
  <c r="K686" i="18"/>
  <c r="L686" i="18"/>
  <c r="A687" i="18"/>
  <c r="B687" i="18"/>
  <c r="C687" i="18"/>
  <c r="L687" i="18" s="1"/>
  <c r="D687" i="18"/>
  <c r="E687" i="18"/>
  <c r="F687" i="18"/>
  <c r="G687" i="18"/>
  <c r="H687" i="18"/>
  <c r="I687" i="18"/>
  <c r="J687" i="18"/>
  <c r="K687" i="18"/>
  <c r="A688" i="18"/>
  <c r="B688" i="18"/>
  <c r="C688" i="18"/>
  <c r="D688" i="18"/>
  <c r="E688" i="18"/>
  <c r="F688" i="18"/>
  <c r="G688" i="18"/>
  <c r="H688" i="18"/>
  <c r="I688" i="18"/>
  <c r="J688" i="18"/>
  <c r="K688" i="18"/>
  <c r="L688" i="18"/>
  <c r="A689" i="18"/>
  <c r="B689" i="18"/>
  <c r="C689" i="18"/>
  <c r="L689" i="18" s="1"/>
  <c r="D689" i="18"/>
  <c r="E689" i="18"/>
  <c r="F689" i="18"/>
  <c r="G689" i="18"/>
  <c r="H689" i="18"/>
  <c r="I689" i="18"/>
  <c r="J689" i="18"/>
  <c r="K689" i="18"/>
  <c r="A690" i="18"/>
  <c r="B690" i="18"/>
  <c r="C690" i="18"/>
  <c r="D690" i="18"/>
  <c r="E690" i="18"/>
  <c r="F690" i="18"/>
  <c r="G690" i="18"/>
  <c r="H690" i="18"/>
  <c r="I690" i="18"/>
  <c r="J690" i="18"/>
  <c r="K690" i="18"/>
  <c r="L690" i="18"/>
  <c r="A691" i="18"/>
  <c r="B691" i="18"/>
  <c r="C691" i="18"/>
  <c r="L691" i="18" s="1"/>
  <c r="D691" i="18"/>
  <c r="E691" i="18"/>
  <c r="F691" i="18"/>
  <c r="G691" i="18"/>
  <c r="H691" i="18"/>
  <c r="I691" i="18"/>
  <c r="J691" i="18"/>
  <c r="K691" i="18"/>
  <c r="A692" i="18"/>
  <c r="B692" i="18"/>
  <c r="C692" i="18"/>
  <c r="D692" i="18"/>
  <c r="E692" i="18"/>
  <c r="F692" i="18"/>
  <c r="G692" i="18"/>
  <c r="H692" i="18"/>
  <c r="I692" i="18"/>
  <c r="J692" i="18"/>
  <c r="K692" i="18"/>
  <c r="L692" i="18"/>
  <c r="A693" i="18"/>
  <c r="B693" i="18"/>
  <c r="C693" i="18"/>
  <c r="L693" i="18" s="1"/>
  <c r="D693" i="18"/>
  <c r="E693" i="18"/>
  <c r="F693" i="18"/>
  <c r="G693" i="18"/>
  <c r="H693" i="18"/>
  <c r="I693" i="18"/>
  <c r="J693" i="18"/>
  <c r="K693" i="18"/>
  <c r="A694" i="18"/>
  <c r="B694" i="18"/>
  <c r="C694" i="18"/>
  <c r="D694" i="18"/>
  <c r="E694" i="18"/>
  <c r="F694" i="18"/>
  <c r="G694" i="18"/>
  <c r="H694" i="18"/>
  <c r="I694" i="18"/>
  <c r="J694" i="18"/>
  <c r="K694" i="18"/>
  <c r="L694" i="18"/>
  <c r="A695" i="18"/>
  <c r="B695" i="18"/>
  <c r="C695" i="18"/>
  <c r="L695" i="18" s="1"/>
  <c r="D695" i="18"/>
  <c r="E695" i="18"/>
  <c r="F695" i="18"/>
  <c r="G695" i="18"/>
  <c r="H695" i="18"/>
  <c r="I695" i="18"/>
  <c r="J695" i="18"/>
  <c r="K695" i="18"/>
  <c r="A696" i="18"/>
  <c r="B696" i="18"/>
  <c r="C696" i="18"/>
  <c r="D696" i="18"/>
  <c r="E696" i="18"/>
  <c r="F696" i="18"/>
  <c r="G696" i="18"/>
  <c r="H696" i="18"/>
  <c r="I696" i="18"/>
  <c r="J696" i="18"/>
  <c r="K696" i="18"/>
  <c r="L696" i="18"/>
  <c r="A697" i="18"/>
  <c r="B697" i="18"/>
  <c r="C697" i="18"/>
  <c r="L697" i="18" s="1"/>
  <c r="D697" i="18"/>
  <c r="E697" i="18"/>
  <c r="F697" i="18"/>
  <c r="G697" i="18"/>
  <c r="H697" i="18"/>
  <c r="I697" i="18"/>
  <c r="J697" i="18"/>
  <c r="K697" i="18"/>
  <c r="A698" i="18"/>
  <c r="B698" i="18"/>
  <c r="C698" i="18"/>
  <c r="D698" i="18"/>
  <c r="E698" i="18"/>
  <c r="F698" i="18"/>
  <c r="G698" i="18"/>
  <c r="H698" i="18"/>
  <c r="I698" i="18"/>
  <c r="J698" i="18"/>
  <c r="K698" i="18"/>
  <c r="L698" i="18"/>
  <c r="A699" i="18"/>
  <c r="B699" i="18"/>
  <c r="C699" i="18"/>
  <c r="L699" i="18" s="1"/>
  <c r="D699" i="18"/>
  <c r="E699" i="18"/>
  <c r="F699" i="18"/>
  <c r="G699" i="18"/>
  <c r="H699" i="18"/>
  <c r="I699" i="18"/>
  <c r="J699" i="18"/>
  <c r="K699" i="18"/>
  <c r="A700" i="18"/>
  <c r="B700" i="18"/>
  <c r="C700" i="18"/>
  <c r="D700" i="18"/>
  <c r="E700" i="18"/>
  <c r="F700" i="18"/>
  <c r="G700" i="18"/>
  <c r="H700" i="18"/>
  <c r="I700" i="18"/>
  <c r="J700" i="18"/>
  <c r="K700" i="18"/>
  <c r="L700" i="18"/>
  <c r="A701" i="18"/>
  <c r="B701" i="18"/>
  <c r="C701" i="18"/>
  <c r="L701" i="18" s="1"/>
  <c r="D701" i="18"/>
  <c r="E701" i="18"/>
  <c r="F701" i="18"/>
  <c r="G701" i="18"/>
  <c r="H701" i="18"/>
  <c r="I701" i="18"/>
  <c r="J701" i="18"/>
  <c r="K701" i="18"/>
  <c r="A702" i="18"/>
  <c r="B702" i="18"/>
  <c r="C702" i="18"/>
  <c r="D702" i="18"/>
  <c r="E702" i="18"/>
  <c r="F702" i="18"/>
  <c r="G702" i="18"/>
  <c r="H702" i="18"/>
  <c r="I702" i="18"/>
  <c r="J702" i="18"/>
  <c r="K702" i="18"/>
  <c r="L702" i="18"/>
  <c r="A703" i="18"/>
  <c r="B703" i="18"/>
  <c r="C703" i="18"/>
  <c r="L703" i="18" s="1"/>
  <c r="D703" i="18"/>
  <c r="E703" i="18"/>
  <c r="F703" i="18"/>
  <c r="G703" i="18"/>
  <c r="H703" i="18"/>
  <c r="I703" i="18"/>
  <c r="J703" i="18"/>
  <c r="K703" i="18"/>
  <c r="A704" i="18"/>
  <c r="B704" i="18"/>
  <c r="C704" i="18"/>
  <c r="D704" i="18"/>
  <c r="E704" i="18"/>
  <c r="F704" i="18"/>
  <c r="G704" i="18"/>
  <c r="H704" i="18"/>
  <c r="I704" i="18"/>
  <c r="J704" i="18"/>
  <c r="K704" i="18"/>
  <c r="L704" i="18"/>
  <c r="A705" i="18"/>
  <c r="B705" i="18"/>
  <c r="C705" i="18"/>
  <c r="L705" i="18" s="1"/>
  <c r="D705" i="18"/>
  <c r="E705" i="18"/>
  <c r="F705" i="18"/>
  <c r="G705" i="18"/>
  <c r="H705" i="18"/>
  <c r="I705" i="18"/>
  <c r="J705" i="18"/>
  <c r="K705" i="18"/>
  <c r="A706" i="18"/>
  <c r="B706" i="18"/>
  <c r="C706" i="18"/>
  <c r="D706" i="18"/>
  <c r="E706" i="18"/>
  <c r="F706" i="18"/>
  <c r="G706" i="18"/>
  <c r="H706" i="18"/>
  <c r="I706" i="18"/>
  <c r="J706" i="18"/>
  <c r="K706" i="18"/>
  <c r="L706" i="18"/>
  <c r="A707" i="18"/>
  <c r="B707" i="18"/>
  <c r="C707" i="18"/>
  <c r="L707" i="18" s="1"/>
  <c r="D707" i="18"/>
  <c r="E707" i="18"/>
  <c r="F707" i="18"/>
  <c r="G707" i="18"/>
  <c r="H707" i="18"/>
  <c r="I707" i="18"/>
  <c r="J707" i="18"/>
  <c r="K707" i="18"/>
  <c r="A708" i="18"/>
  <c r="B708" i="18"/>
  <c r="C708" i="18"/>
  <c r="D708" i="18"/>
  <c r="E708" i="18"/>
  <c r="F708" i="18"/>
  <c r="G708" i="18"/>
  <c r="H708" i="18"/>
  <c r="I708" i="18"/>
  <c r="J708" i="18"/>
  <c r="K708" i="18"/>
  <c r="L708" i="18"/>
  <c r="A709" i="18"/>
  <c r="B709" i="18"/>
  <c r="C709" i="18"/>
  <c r="L709" i="18" s="1"/>
  <c r="D709" i="18"/>
  <c r="E709" i="18"/>
  <c r="F709" i="18"/>
  <c r="G709" i="18"/>
  <c r="H709" i="18"/>
  <c r="I709" i="18"/>
  <c r="J709" i="18"/>
  <c r="K709" i="18"/>
  <c r="A710" i="18"/>
  <c r="B710" i="18"/>
  <c r="C710" i="18"/>
  <c r="D710" i="18"/>
  <c r="E710" i="18"/>
  <c r="F710" i="18"/>
  <c r="G710" i="18"/>
  <c r="H710" i="18"/>
  <c r="I710" i="18"/>
  <c r="J710" i="18"/>
  <c r="K710" i="18"/>
  <c r="L710" i="18"/>
  <c r="A711" i="18"/>
  <c r="B711" i="18"/>
  <c r="C711" i="18"/>
  <c r="L711" i="18" s="1"/>
  <c r="D711" i="18"/>
  <c r="E711" i="18"/>
  <c r="F711" i="18"/>
  <c r="G711" i="18"/>
  <c r="H711" i="18"/>
  <c r="I711" i="18"/>
  <c r="J711" i="18"/>
  <c r="K711" i="18"/>
  <c r="A712" i="18"/>
  <c r="B712" i="18"/>
  <c r="C712" i="18"/>
  <c r="D712" i="18"/>
  <c r="E712" i="18"/>
  <c r="F712" i="18"/>
  <c r="G712" i="18"/>
  <c r="H712" i="18"/>
  <c r="I712" i="18"/>
  <c r="J712" i="18"/>
  <c r="K712" i="18"/>
  <c r="L712" i="18"/>
  <c r="A713" i="18"/>
  <c r="B713" i="18"/>
  <c r="C713" i="18"/>
  <c r="L713" i="18" s="1"/>
  <c r="D713" i="18"/>
  <c r="E713" i="18"/>
  <c r="F713" i="18"/>
  <c r="G713" i="18"/>
  <c r="H713" i="18"/>
  <c r="I713" i="18"/>
  <c r="J713" i="18"/>
  <c r="K713" i="18"/>
  <c r="A714" i="18"/>
  <c r="B714" i="18"/>
  <c r="C714" i="18"/>
  <c r="D714" i="18"/>
  <c r="E714" i="18"/>
  <c r="F714" i="18"/>
  <c r="G714" i="18"/>
  <c r="H714" i="18"/>
  <c r="I714" i="18"/>
  <c r="J714" i="18"/>
  <c r="K714" i="18"/>
  <c r="L714" i="18"/>
  <c r="A715" i="18"/>
  <c r="B715" i="18"/>
  <c r="C715" i="18"/>
  <c r="L715" i="18" s="1"/>
  <c r="D715" i="18"/>
  <c r="E715" i="18"/>
  <c r="F715" i="18"/>
  <c r="G715" i="18"/>
  <c r="H715" i="18"/>
  <c r="I715" i="18"/>
  <c r="J715" i="18"/>
  <c r="K715" i="18"/>
  <c r="A716" i="18"/>
  <c r="B716" i="18"/>
  <c r="C716" i="18"/>
  <c r="D716" i="18"/>
  <c r="E716" i="18"/>
  <c r="F716" i="18"/>
  <c r="G716" i="18"/>
  <c r="H716" i="18"/>
  <c r="I716" i="18"/>
  <c r="J716" i="18"/>
  <c r="K716" i="18"/>
  <c r="L716" i="18"/>
  <c r="A717" i="18"/>
  <c r="B717" i="18"/>
  <c r="C717" i="18"/>
  <c r="L717" i="18" s="1"/>
  <c r="D717" i="18"/>
  <c r="E717" i="18"/>
  <c r="F717" i="18"/>
  <c r="G717" i="18"/>
  <c r="H717" i="18"/>
  <c r="I717" i="18"/>
  <c r="J717" i="18"/>
  <c r="K717" i="18"/>
  <c r="A718" i="18"/>
  <c r="B718" i="18"/>
  <c r="C718" i="18"/>
  <c r="D718" i="18"/>
  <c r="E718" i="18"/>
  <c r="F718" i="18"/>
  <c r="G718" i="18"/>
  <c r="H718" i="18"/>
  <c r="I718" i="18"/>
  <c r="J718" i="18"/>
  <c r="K718" i="18"/>
  <c r="L718" i="18"/>
  <c r="A719" i="18"/>
  <c r="B719" i="18"/>
  <c r="C719" i="18"/>
  <c r="L719" i="18" s="1"/>
  <c r="D719" i="18"/>
  <c r="E719" i="18"/>
  <c r="F719" i="18"/>
  <c r="G719" i="18"/>
  <c r="H719" i="18"/>
  <c r="I719" i="18"/>
  <c r="J719" i="18"/>
  <c r="K719" i="18"/>
  <c r="A720" i="18"/>
  <c r="B720" i="18"/>
  <c r="C720" i="18"/>
  <c r="D720" i="18"/>
  <c r="E720" i="18"/>
  <c r="F720" i="18"/>
  <c r="G720" i="18"/>
  <c r="H720" i="18"/>
  <c r="I720" i="18"/>
  <c r="J720" i="18"/>
  <c r="K720" i="18"/>
  <c r="L720" i="18"/>
  <c r="A721" i="18"/>
  <c r="B721" i="18"/>
  <c r="C721" i="18"/>
  <c r="L721" i="18" s="1"/>
  <c r="D721" i="18"/>
  <c r="E721" i="18"/>
  <c r="F721" i="18"/>
  <c r="G721" i="18"/>
  <c r="H721" i="18"/>
  <c r="I721" i="18"/>
  <c r="J721" i="18"/>
  <c r="K721" i="18"/>
  <c r="A722" i="18"/>
  <c r="B722" i="18"/>
  <c r="C722" i="18"/>
  <c r="D722" i="18"/>
  <c r="E722" i="18"/>
  <c r="F722" i="18"/>
  <c r="G722" i="18"/>
  <c r="H722" i="18"/>
  <c r="I722" i="18"/>
  <c r="J722" i="18"/>
  <c r="K722" i="18"/>
  <c r="L722" i="18"/>
  <c r="A723" i="18"/>
  <c r="B723" i="18"/>
  <c r="C723" i="18"/>
  <c r="L723" i="18" s="1"/>
  <c r="D723" i="18"/>
  <c r="E723" i="18"/>
  <c r="F723" i="18"/>
  <c r="G723" i="18"/>
  <c r="H723" i="18"/>
  <c r="I723" i="18"/>
  <c r="J723" i="18"/>
  <c r="K723" i="18"/>
  <c r="A724" i="18"/>
  <c r="B724" i="18"/>
  <c r="C724" i="18"/>
  <c r="D724" i="18"/>
  <c r="E724" i="18"/>
  <c r="F724" i="18"/>
  <c r="G724" i="18"/>
  <c r="H724" i="18"/>
  <c r="I724" i="18"/>
  <c r="J724" i="18"/>
  <c r="K724" i="18"/>
  <c r="L724" i="18"/>
  <c r="A725" i="18"/>
  <c r="B725" i="18"/>
  <c r="C725" i="18"/>
  <c r="L725" i="18" s="1"/>
  <c r="D725" i="18"/>
  <c r="E725" i="18"/>
  <c r="F725" i="18"/>
  <c r="G725" i="18"/>
  <c r="H725" i="18"/>
  <c r="I725" i="18"/>
  <c r="J725" i="18"/>
  <c r="K725" i="18"/>
  <c r="A726" i="18"/>
  <c r="B726" i="18"/>
  <c r="C726" i="18"/>
  <c r="D726" i="18"/>
  <c r="E726" i="18"/>
  <c r="F726" i="18"/>
  <c r="G726" i="18"/>
  <c r="H726" i="18"/>
  <c r="I726" i="18"/>
  <c r="J726" i="18"/>
  <c r="K726" i="18"/>
  <c r="L726" i="18"/>
  <c r="A727" i="18"/>
  <c r="B727" i="18"/>
  <c r="C727" i="18"/>
  <c r="L727" i="18" s="1"/>
  <c r="D727" i="18"/>
  <c r="E727" i="18"/>
  <c r="F727" i="18"/>
  <c r="G727" i="18"/>
  <c r="H727" i="18"/>
  <c r="I727" i="18"/>
  <c r="J727" i="18"/>
  <c r="K727" i="18"/>
  <c r="A728" i="18"/>
  <c r="B728" i="18"/>
  <c r="C728" i="18"/>
  <c r="D728" i="18"/>
  <c r="E728" i="18"/>
  <c r="F728" i="18"/>
  <c r="G728" i="18"/>
  <c r="H728" i="18"/>
  <c r="I728" i="18"/>
  <c r="J728" i="18"/>
  <c r="K728" i="18"/>
  <c r="L728" i="18"/>
  <c r="A729" i="18"/>
  <c r="B729" i="18"/>
  <c r="C729" i="18"/>
  <c r="L729" i="18" s="1"/>
  <c r="D729" i="18"/>
  <c r="E729" i="18"/>
  <c r="F729" i="18"/>
  <c r="G729" i="18"/>
  <c r="H729" i="18"/>
  <c r="I729" i="18"/>
  <c r="J729" i="18"/>
  <c r="K729" i="18"/>
  <c r="A730" i="18"/>
  <c r="B730" i="18"/>
  <c r="C730" i="18"/>
  <c r="D730" i="18"/>
  <c r="E730" i="18"/>
  <c r="F730" i="18"/>
  <c r="G730" i="18"/>
  <c r="H730" i="18"/>
  <c r="I730" i="18"/>
  <c r="J730" i="18"/>
  <c r="K730" i="18"/>
  <c r="L730" i="18"/>
  <c r="A731" i="18"/>
  <c r="B731" i="18"/>
  <c r="C731" i="18"/>
  <c r="L731" i="18" s="1"/>
  <c r="D731" i="18"/>
  <c r="E731" i="18"/>
  <c r="F731" i="18"/>
  <c r="G731" i="18"/>
  <c r="H731" i="18"/>
  <c r="I731" i="18"/>
  <c r="J731" i="18"/>
  <c r="K731" i="18"/>
  <c r="A732" i="18"/>
  <c r="B732" i="18"/>
  <c r="C732" i="18"/>
  <c r="D732" i="18"/>
  <c r="E732" i="18"/>
  <c r="F732" i="18"/>
  <c r="G732" i="18"/>
  <c r="H732" i="18"/>
  <c r="I732" i="18"/>
  <c r="J732" i="18"/>
  <c r="K732" i="18"/>
  <c r="L732" i="18"/>
  <c r="A733" i="18"/>
  <c r="B733" i="18"/>
  <c r="C733" i="18"/>
  <c r="L733" i="18" s="1"/>
  <c r="D733" i="18"/>
  <c r="E733" i="18"/>
  <c r="F733" i="18"/>
  <c r="G733" i="18"/>
  <c r="H733" i="18"/>
  <c r="I733" i="18"/>
  <c r="J733" i="18"/>
  <c r="K733" i="18"/>
  <c r="A734" i="18"/>
  <c r="B734" i="18"/>
  <c r="C734" i="18"/>
  <c r="D734" i="18"/>
  <c r="E734" i="18"/>
  <c r="F734" i="18"/>
  <c r="G734" i="18"/>
  <c r="H734" i="18"/>
  <c r="I734" i="18"/>
  <c r="J734" i="18"/>
  <c r="K734" i="18"/>
  <c r="L734" i="18"/>
  <c r="A735" i="18"/>
  <c r="B735" i="18"/>
  <c r="C735" i="18"/>
  <c r="L735" i="18" s="1"/>
  <c r="D735" i="18"/>
  <c r="E735" i="18"/>
  <c r="F735" i="18"/>
  <c r="G735" i="18"/>
  <c r="H735" i="18"/>
  <c r="I735" i="18"/>
  <c r="J735" i="18"/>
  <c r="K735" i="18"/>
  <c r="A736" i="18"/>
  <c r="B736" i="18"/>
  <c r="C736" i="18"/>
  <c r="D736" i="18"/>
  <c r="E736" i="18"/>
  <c r="F736" i="18"/>
  <c r="G736" i="18"/>
  <c r="H736" i="18"/>
  <c r="I736" i="18"/>
  <c r="J736" i="18"/>
  <c r="K736" i="18"/>
  <c r="L736" i="18"/>
  <c r="A737" i="18"/>
  <c r="B737" i="18"/>
  <c r="C737" i="18"/>
  <c r="L737" i="18" s="1"/>
  <c r="D737" i="18"/>
  <c r="E737" i="18"/>
  <c r="F737" i="18"/>
  <c r="G737" i="18"/>
  <c r="H737" i="18"/>
  <c r="I737" i="18"/>
  <c r="J737" i="18"/>
  <c r="K737" i="18"/>
  <c r="A738" i="18"/>
  <c r="B738" i="18"/>
  <c r="C738" i="18"/>
  <c r="D738" i="18"/>
  <c r="E738" i="18"/>
  <c r="F738" i="18"/>
  <c r="G738" i="18"/>
  <c r="H738" i="18"/>
  <c r="I738" i="18"/>
  <c r="J738" i="18"/>
  <c r="K738" i="18"/>
  <c r="L738" i="18"/>
  <c r="A739" i="18"/>
  <c r="B739" i="18"/>
  <c r="C739" i="18"/>
  <c r="L739" i="18" s="1"/>
  <c r="D739" i="18"/>
  <c r="E739" i="18"/>
  <c r="F739" i="18"/>
  <c r="G739" i="18"/>
  <c r="H739" i="18"/>
  <c r="I739" i="18"/>
  <c r="J739" i="18"/>
  <c r="K739" i="18"/>
  <c r="A740" i="18"/>
  <c r="B740" i="18"/>
  <c r="C740" i="18"/>
  <c r="D740" i="18"/>
  <c r="E740" i="18"/>
  <c r="F740" i="18"/>
  <c r="G740" i="18"/>
  <c r="H740" i="18"/>
  <c r="I740" i="18"/>
  <c r="J740" i="18"/>
  <c r="K740" i="18"/>
  <c r="L740" i="18"/>
  <c r="A741" i="18"/>
  <c r="B741" i="18"/>
  <c r="C741" i="18"/>
  <c r="L741" i="18" s="1"/>
  <c r="D741" i="18"/>
  <c r="E741" i="18"/>
  <c r="F741" i="18"/>
  <c r="G741" i="18"/>
  <c r="H741" i="18"/>
  <c r="I741" i="18"/>
  <c r="J741" i="18"/>
  <c r="K741" i="18"/>
  <c r="A742" i="18"/>
  <c r="B742" i="18"/>
  <c r="C742" i="18"/>
  <c r="D742" i="18"/>
  <c r="E742" i="18"/>
  <c r="F742" i="18"/>
  <c r="G742" i="18"/>
  <c r="H742" i="18"/>
  <c r="I742" i="18"/>
  <c r="J742" i="18"/>
  <c r="K742" i="18"/>
  <c r="L742" i="18"/>
  <c r="A743" i="18"/>
  <c r="B743" i="18"/>
  <c r="C743" i="18"/>
  <c r="L743" i="18" s="1"/>
  <c r="D743" i="18"/>
  <c r="E743" i="18"/>
  <c r="F743" i="18"/>
  <c r="G743" i="18"/>
  <c r="H743" i="18"/>
  <c r="I743" i="18"/>
  <c r="J743" i="18"/>
  <c r="K743" i="18"/>
  <c r="A744" i="18"/>
  <c r="B744" i="18"/>
  <c r="C744" i="18"/>
  <c r="D744" i="18"/>
  <c r="E744" i="18"/>
  <c r="F744" i="18"/>
  <c r="G744" i="18"/>
  <c r="H744" i="18"/>
  <c r="I744" i="18"/>
  <c r="J744" i="18"/>
  <c r="K744" i="18"/>
  <c r="L744" i="18"/>
  <c r="A745" i="18"/>
  <c r="B745" i="18"/>
  <c r="C745" i="18"/>
  <c r="L745" i="18" s="1"/>
  <c r="D745" i="18"/>
  <c r="E745" i="18"/>
  <c r="F745" i="18"/>
  <c r="G745" i="18"/>
  <c r="H745" i="18"/>
  <c r="I745" i="18"/>
  <c r="J745" i="18"/>
  <c r="K745" i="18"/>
  <c r="A746" i="18"/>
  <c r="B746" i="18"/>
  <c r="C746" i="18"/>
  <c r="D746" i="18"/>
  <c r="E746" i="18"/>
  <c r="F746" i="18"/>
  <c r="G746" i="18"/>
  <c r="H746" i="18"/>
  <c r="I746" i="18"/>
  <c r="J746" i="18"/>
  <c r="K746" i="18"/>
  <c r="L746" i="18"/>
  <c r="A747" i="18"/>
  <c r="B747" i="18"/>
  <c r="C747" i="18"/>
  <c r="L747" i="18" s="1"/>
  <c r="D747" i="18"/>
  <c r="E747" i="18"/>
  <c r="F747" i="18"/>
  <c r="G747" i="18"/>
  <c r="H747" i="18"/>
  <c r="I747" i="18"/>
  <c r="J747" i="18"/>
  <c r="K747" i="18"/>
  <c r="A748" i="18"/>
  <c r="B748" i="18"/>
  <c r="C748" i="18"/>
  <c r="D748" i="18"/>
  <c r="E748" i="18"/>
  <c r="F748" i="18"/>
  <c r="G748" i="18"/>
  <c r="H748" i="18"/>
  <c r="I748" i="18"/>
  <c r="J748" i="18"/>
  <c r="K748" i="18"/>
  <c r="L748" i="18"/>
  <c r="A749" i="18"/>
  <c r="B749" i="18"/>
  <c r="C749" i="18"/>
  <c r="L749" i="18" s="1"/>
  <c r="D749" i="18"/>
  <c r="E749" i="18"/>
  <c r="F749" i="18"/>
  <c r="G749" i="18"/>
  <c r="H749" i="18"/>
  <c r="I749" i="18"/>
  <c r="J749" i="18"/>
  <c r="K749" i="18"/>
  <c r="A750" i="18"/>
  <c r="B750" i="18"/>
  <c r="C750" i="18"/>
  <c r="D750" i="18"/>
  <c r="E750" i="18"/>
  <c r="F750" i="18"/>
  <c r="G750" i="18"/>
  <c r="H750" i="18"/>
  <c r="I750" i="18"/>
  <c r="J750" i="18"/>
  <c r="K750" i="18"/>
  <c r="L750" i="18"/>
  <c r="A751" i="18"/>
  <c r="B751" i="18"/>
  <c r="C751" i="18"/>
  <c r="L751" i="18" s="1"/>
  <c r="D751" i="18"/>
  <c r="E751" i="18"/>
  <c r="F751" i="18"/>
  <c r="G751" i="18"/>
  <c r="H751" i="18"/>
  <c r="I751" i="18"/>
  <c r="J751" i="18"/>
  <c r="K751" i="18"/>
  <c r="A752" i="18"/>
  <c r="B752" i="18"/>
  <c r="C752" i="18"/>
  <c r="D752" i="18"/>
  <c r="E752" i="18"/>
  <c r="F752" i="18"/>
  <c r="G752" i="18"/>
  <c r="H752" i="18"/>
  <c r="I752" i="18"/>
  <c r="J752" i="18"/>
  <c r="K752" i="18"/>
  <c r="L752" i="18"/>
  <c r="A753" i="18"/>
  <c r="B753" i="18"/>
  <c r="C753" i="18"/>
  <c r="L753" i="18" s="1"/>
  <c r="D753" i="18"/>
  <c r="E753" i="18"/>
  <c r="F753" i="18"/>
  <c r="G753" i="18"/>
  <c r="H753" i="18"/>
  <c r="I753" i="18"/>
  <c r="J753" i="18"/>
  <c r="K753" i="18"/>
  <c r="A754" i="18"/>
  <c r="B754" i="18"/>
  <c r="C754" i="18"/>
  <c r="D754" i="18"/>
  <c r="E754" i="18"/>
  <c r="F754" i="18"/>
  <c r="G754" i="18"/>
  <c r="H754" i="18"/>
  <c r="I754" i="18"/>
  <c r="J754" i="18"/>
  <c r="K754" i="18"/>
  <c r="L754" i="18"/>
  <c r="A755" i="18"/>
  <c r="B755" i="18"/>
  <c r="C755" i="18"/>
  <c r="L755" i="18" s="1"/>
  <c r="D755" i="18"/>
  <c r="E755" i="18"/>
  <c r="F755" i="18"/>
  <c r="G755" i="18"/>
  <c r="H755" i="18"/>
  <c r="I755" i="18"/>
  <c r="J755" i="18"/>
  <c r="K755" i="18"/>
  <c r="A756" i="18"/>
  <c r="B756" i="18"/>
  <c r="C756" i="18"/>
  <c r="D756" i="18"/>
  <c r="E756" i="18"/>
  <c r="F756" i="18"/>
  <c r="G756" i="18"/>
  <c r="H756" i="18"/>
  <c r="I756" i="18"/>
  <c r="J756" i="18"/>
  <c r="K756" i="18"/>
  <c r="L756" i="18"/>
  <c r="A757" i="18"/>
  <c r="B757" i="18"/>
  <c r="C757" i="18"/>
  <c r="L757" i="18" s="1"/>
  <c r="D757" i="18"/>
  <c r="E757" i="18"/>
  <c r="F757" i="18"/>
  <c r="G757" i="18"/>
  <c r="H757" i="18"/>
  <c r="I757" i="18"/>
  <c r="J757" i="18"/>
  <c r="K757" i="18"/>
  <c r="A758" i="18"/>
  <c r="B758" i="18"/>
  <c r="C758" i="18"/>
  <c r="D758" i="18"/>
  <c r="E758" i="18"/>
  <c r="F758" i="18"/>
  <c r="G758" i="18"/>
  <c r="H758" i="18"/>
  <c r="I758" i="18"/>
  <c r="J758" i="18"/>
  <c r="K758" i="18"/>
  <c r="L758" i="18"/>
  <c r="A759" i="18"/>
  <c r="B759" i="18"/>
  <c r="C759" i="18"/>
  <c r="L759" i="18" s="1"/>
  <c r="D759" i="18"/>
  <c r="E759" i="18"/>
  <c r="F759" i="18"/>
  <c r="G759" i="18"/>
  <c r="H759" i="18"/>
  <c r="I759" i="18"/>
  <c r="J759" i="18"/>
  <c r="K759" i="18"/>
  <c r="A760" i="18"/>
  <c r="B760" i="18"/>
  <c r="C760" i="18"/>
  <c r="D760" i="18"/>
  <c r="E760" i="18"/>
  <c r="F760" i="18"/>
  <c r="G760" i="18"/>
  <c r="H760" i="18"/>
  <c r="I760" i="18"/>
  <c r="J760" i="18"/>
  <c r="K760" i="18"/>
  <c r="L760" i="18"/>
  <c r="A761" i="18"/>
  <c r="B761" i="18"/>
  <c r="C761" i="18"/>
  <c r="L761" i="18" s="1"/>
  <c r="D761" i="18"/>
  <c r="E761" i="18"/>
  <c r="F761" i="18"/>
  <c r="G761" i="18"/>
  <c r="H761" i="18"/>
  <c r="I761" i="18"/>
  <c r="J761" i="18"/>
  <c r="K761" i="18"/>
  <c r="A762" i="18"/>
  <c r="B762" i="18"/>
  <c r="C762" i="18"/>
  <c r="D762" i="18"/>
  <c r="E762" i="18"/>
  <c r="F762" i="18"/>
  <c r="G762" i="18"/>
  <c r="H762" i="18"/>
  <c r="I762" i="18"/>
  <c r="J762" i="18"/>
  <c r="K762" i="18"/>
  <c r="L762" i="18"/>
  <c r="A763" i="18"/>
  <c r="B763" i="18"/>
  <c r="C763" i="18"/>
  <c r="L763" i="18" s="1"/>
  <c r="D763" i="18"/>
  <c r="E763" i="18"/>
  <c r="F763" i="18"/>
  <c r="G763" i="18"/>
  <c r="H763" i="18"/>
  <c r="I763" i="18"/>
  <c r="J763" i="18"/>
  <c r="K763" i="18"/>
  <c r="A764" i="18"/>
  <c r="B764" i="18"/>
  <c r="C764" i="18"/>
  <c r="D764" i="18"/>
  <c r="E764" i="18"/>
  <c r="F764" i="18"/>
  <c r="G764" i="18"/>
  <c r="H764" i="18"/>
  <c r="I764" i="18"/>
  <c r="J764" i="18"/>
  <c r="K764" i="18"/>
  <c r="L764" i="18"/>
  <c r="A765" i="18"/>
  <c r="B765" i="18"/>
  <c r="C765" i="18"/>
  <c r="L765" i="18" s="1"/>
  <c r="D765" i="18"/>
  <c r="E765" i="18"/>
  <c r="F765" i="18"/>
  <c r="G765" i="18"/>
  <c r="H765" i="18"/>
  <c r="I765" i="18"/>
  <c r="J765" i="18"/>
  <c r="K765" i="18"/>
  <c r="A766" i="18"/>
  <c r="B766" i="18"/>
  <c r="C766" i="18"/>
  <c r="D766" i="18"/>
  <c r="E766" i="18"/>
  <c r="F766" i="18"/>
  <c r="G766" i="18"/>
  <c r="H766" i="18"/>
  <c r="I766" i="18"/>
  <c r="J766" i="18"/>
  <c r="K766" i="18"/>
  <c r="L766" i="18"/>
  <c r="A767" i="18"/>
  <c r="B767" i="18"/>
  <c r="C767" i="18"/>
  <c r="L767" i="18" s="1"/>
  <c r="D767" i="18"/>
  <c r="E767" i="18"/>
  <c r="F767" i="18"/>
  <c r="G767" i="18"/>
  <c r="H767" i="18"/>
  <c r="I767" i="18"/>
  <c r="J767" i="18"/>
  <c r="K767" i="18"/>
  <c r="A768" i="18"/>
  <c r="B768" i="18"/>
  <c r="C768" i="18"/>
  <c r="D768" i="18"/>
  <c r="E768" i="18"/>
  <c r="F768" i="18"/>
  <c r="G768" i="18"/>
  <c r="H768" i="18"/>
  <c r="I768" i="18"/>
  <c r="J768" i="18"/>
  <c r="K768" i="18"/>
  <c r="L768" i="18"/>
  <c r="A769" i="18"/>
  <c r="B769" i="18"/>
  <c r="C769" i="18"/>
  <c r="L769" i="18" s="1"/>
  <c r="D769" i="18"/>
  <c r="E769" i="18"/>
  <c r="F769" i="18"/>
  <c r="G769" i="18"/>
  <c r="H769" i="18"/>
  <c r="I769" i="18"/>
  <c r="J769" i="18"/>
  <c r="K769" i="18"/>
  <c r="A770" i="18"/>
  <c r="B770" i="18"/>
  <c r="C770" i="18"/>
  <c r="D770" i="18"/>
  <c r="E770" i="18"/>
  <c r="F770" i="18"/>
  <c r="G770" i="18"/>
  <c r="H770" i="18"/>
  <c r="I770" i="18"/>
  <c r="J770" i="18"/>
  <c r="K770" i="18"/>
  <c r="L770" i="18"/>
  <c r="A771" i="18"/>
  <c r="B771" i="18"/>
  <c r="C771" i="18"/>
  <c r="L771" i="18" s="1"/>
  <c r="D771" i="18"/>
  <c r="E771" i="18"/>
  <c r="F771" i="18"/>
  <c r="G771" i="18"/>
  <c r="H771" i="18"/>
  <c r="I771" i="18"/>
  <c r="J771" i="18"/>
  <c r="K771" i="18"/>
  <c r="A772" i="18"/>
  <c r="B772" i="18"/>
  <c r="C772" i="18"/>
  <c r="D772" i="18"/>
  <c r="E772" i="18"/>
  <c r="F772" i="18"/>
  <c r="G772" i="18"/>
  <c r="H772" i="18"/>
  <c r="I772" i="18"/>
  <c r="J772" i="18"/>
  <c r="K772" i="18"/>
  <c r="L772" i="18"/>
  <c r="A773" i="18"/>
  <c r="B773" i="18"/>
  <c r="C773" i="18"/>
  <c r="L773" i="18" s="1"/>
  <c r="D773" i="18"/>
  <c r="E773" i="18"/>
  <c r="F773" i="18"/>
  <c r="G773" i="18"/>
  <c r="H773" i="18"/>
  <c r="I773" i="18"/>
  <c r="J773" i="18"/>
  <c r="K773" i="18"/>
  <c r="A774" i="18"/>
  <c r="B774" i="18"/>
  <c r="C774" i="18"/>
  <c r="D774" i="18"/>
  <c r="E774" i="18"/>
  <c r="F774" i="18"/>
  <c r="G774" i="18"/>
  <c r="H774" i="18"/>
  <c r="I774" i="18"/>
  <c r="J774" i="18"/>
  <c r="K774" i="18"/>
  <c r="L774" i="18"/>
  <c r="A775" i="18"/>
  <c r="B775" i="18"/>
  <c r="C775" i="18"/>
  <c r="L775" i="18" s="1"/>
  <c r="D775" i="18"/>
  <c r="E775" i="18"/>
  <c r="F775" i="18"/>
  <c r="G775" i="18"/>
  <c r="H775" i="18"/>
  <c r="I775" i="18"/>
  <c r="J775" i="18"/>
  <c r="K775" i="18"/>
  <c r="A776" i="18"/>
  <c r="B776" i="18"/>
  <c r="C776" i="18"/>
  <c r="D776" i="18"/>
  <c r="E776" i="18"/>
  <c r="F776" i="18"/>
  <c r="G776" i="18"/>
  <c r="H776" i="18"/>
  <c r="I776" i="18"/>
  <c r="J776" i="18"/>
  <c r="K776" i="18"/>
  <c r="L776" i="18"/>
  <c r="A777" i="18"/>
  <c r="B777" i="18"/>
  <c r="C777" i="18"/>
  <c r="L777" i="18" s="1"/>
  <c r="D777" i="18"/>
  <c r="E777" i="18"/>
  <c r="F777" i="18"/>
  <c r="G777" i="18"/>
  <c r="H777" i="18"/>
  <c r="I777" i="18"/>
  <c r="J777" i="18"/>
  <c r="K777" i="18"/>
  <c r="A778" i="18"/>
  <c r="B778" i="18"/>
  <c r="C778" i="18"/>
  <c r="D778" i="18"/>
  <c r="E778" i="18"/>
  <c r="F778" i="18"/>
  <c r="G778" i="18"/>
  <c r="H778" i="18"/>
  <c r="I778" i="18"/>
  <c r="J778" i="18"/>
  <c r="K778" i="18"/>
  <c r="L778" i="18"/>
  <c r="A779" i="18"/>
  <c r="B779" i="18"/>
  <c r="C779" i="18"/>
  <c r="L779" i="18" s="1"/>
  <c r="D779" i="18"/>
  <c r="E779" i="18"/>
  <c r="F779" i="18"/>
  <c r="G779" i="18"/>
  <c r="H779" i="18"/>
  <c r="I779" i="18"/>
  <c r="J779" i="18"/>
  <c r="K779" i="18"/>
  <c r="A780" i="18"/>
  <c r="B780" i="18"/>
  <c r="C780" i="18"/>
  <c r="D780" i="18"/>
  <c r="E780" i="18"/>
  <c r="F780" i="18"/>
  <c r="G780" i="18"/>
  <c r="H780" i="18"/>
  <c r="I780" i="18"/>
  <c r="J780" i="18"/>
  <c r="K780" i="18"/>
  <c r="L780" i="18"/>
  <c r="A781" i="18"/>
  <c r="B781" i="18"/>
  <c r="C781" i="18"/>
  <c r="L781" i="18" s="1"/>
  <c r="D781" i="18"/>
  <c r="E781" i="18"/>
  <c r="F781" i="18"/>
  <c r="G781" i="18"/>
  <c r="H781" i="18"/>
  <c r="I781" i="18"/>
  <c r="J781" i="18"/>
  <c r="K781" i="18"/>
  <c r="A782" i="18"/>
  <c r="B782" i="18"/>
  <c r="C782" i="18"/>
  <c r="D782" i="18"/>
  <c r="E782" i="18"/>
  <c r="F782" i="18"/>
  <c r="G782" i="18"/>
  <c r="H782" i="18"/>
  <c r="I782" i="18"/>
  <c r="J782" i="18"/>
  <c r="K782" i="18"/>
  <c r="L782" i="18"/>
  <c r="A783" i="18"/>
  <c r="B783" i="18"/>
  <c r="C783" i="18"/>
  <c r="L783" i="18" s="1"/>
  <c r="D783" i="18"/>
  <c r="E783" i="18"/>
  <c r="F783" i="18"/>
  <c r="G783" i="18"/>
  <c r="H783" i="18"/>
  <c r="I783" i="18"/>
  <c r="J783" i="18"/>
  <c r="K783" i="18"/>
  <c r="A784" i="18"/>
  <c r="B784" i="18"/>
  <c r="C784" i="18"/>
  <c r="D784" i="18"/>
  <c r="E784" i="18"/>
  <c r="F784" i="18"/>
  <c r="G784" i="18"/>
  <c r="H784" i="18"/>
  <c r="I784" i="18"/>
  <c r="J784" i="18"/>
  <c r="K784" i="18"/>
  <c r="L784" i="18"/>
  <c r="A785" i="18"/>
  <c r="B785" i="18"/>
  <c r="C785" i="18"/>
  <c r="L785" i="18" s="1"/>
  <c r="D785" i="18"/>
  <c r="E785" i="18"/>
  <c r="F785" i="18"/>
  <c r="G785" i="18"/>
  <c r="H785" i="18"/>
  <c r="I785" i="18"/>
  <c r="J785" i="18"/>
  <c r="K785" i="18"/>
  <c r="A786" i="18"/>
  <c r="B786" i="18"/>
  <c r="C786" i="18"/>
  <c r="D786" i="18"/>
  <c r="E786" i="18"/>
  <c r="F786" i="18"/>
  <c r="G786" i="18"/>
  <c r="H786" i="18"/>
  <c r="I786" i="18"/>
  <c r="J786" i="18"/>
  <c r="K786" i="18"/>
  <c r="L786" i="18"/>
  <c r="A787" i="18"/>
  <c r="B787" i="18"/>
  <c r="C787" i="18"/>
  <c r="L787" i="18" s="1"/>
  <c r="D787" i="18"/>
  <c r="E787" i="18"/>
  <c r="F787" i="18"/>
  <c r="G787" i="18"/>
  <c r="H787" i="18"/>
  <c r="I787" i="18"/>
  <c r="J787" i="18"/>
  <c r="K787" i="18"/>
  <c r="A788" i="18"/>
  <c r="B788" i="18"/>
  <c r="C788" i="18"/>
  <c r="D788" i="18"/>
  <c r="E788" i="18"/>
  <c r="F788" i="18"/>
  <c r="G788" i="18"/>
  <c r="H788" i="18"/>
  <c r="I788" i="18"/>
  <c r="J788" i="18"/>
  <c r="K788" i="18"/>
  <c r="L788" i="18"/>
  <c r="A789" i="18"/>
  <c r="B789" i="18"/>
  <c r="C789" i="18"/>
  <c r="L789" i="18" s="1"/>
  <c r="D789" i="18"/>
  <c r="E789" i="18"/>
  <c r="F789" i="18"/>
  <c r="G789" i="18"/>
  <c r="H789" i="18"/>
  <c r="I789" i="18"/>
  <c r="J789" i="18"/>
  <c r="K789" i="18"/>
  <c r="A790" i="18"/>
  <c r="B790" i="18"/>
  <c r="C790" i="18"/>
  <c r="D790" i="18"/>
  <c r="E790" i="18"/>
  <c r="F790" i="18"/>
  <c r="G790" i="18"/>
  <c r="H790" i="18"/>
  <c r="I790" i="18"/>
  <c r="J790" i="18"/>
  <c r="K790" i="18"/>
  <c r="L790" i="18"/>
  <c r="A791" i="18"/>
  <c r="B791" i="18"/>
  <c r="C791" i="18"/>
  <c r="L791" i="18" s="1"/>
  <c r="D791" i="18"/>
  <c r="E791" i="18"/>
  <c r="F791" i="18"/>
  <c r="G791" i="18"/>
  <c r="H791" i="18"/>
  <c r="I791" i="18"/>
  <c r="J791" i="18"/>
  <c r="K791" i="18"/>
  <c r="A792" i="18"/>
  <c r="B792" i="18"/>
  <c r="C792" i="18"/>
  <c r="D792" i="18"/>
  <c r="E792" i="18"/>
  <c r="F792" i="18"/>
  <c r="G792" i="18"/>
  <c r="H792" i="18"/>
  <c r="I792" i="18"/>
  <c r="J792" i="18"/>
  <c r="K792" i="18"/>
  <c r="L792" i="18"/>
  <c r="A793" i="18"/>
  <c r="B793" i="18"/>
  <c r="C793" i="18"/>
  <c r="L793" i="18" s="1"/>
  <c r="D793" i="18"/>
  <c r="E793" i="18"/>
  <c r="F793" i="18"/>
  <c r="G793" i="18"/>
  <c r="H793" i="18"/>
  <c r="I793" i="18"/>
  <c r="J793" i="18"/>
  <c r="K793" i="18"/>
  <c r="A794" i="18"/>
  <c r="B794" i="18"/>
  <c r="C794" i="18"/>
  <c r="D794" i="18"/>
  <c r="E794" i="18"/>
  <c r="F794" i="18"/>
  <c r="G794" i="18"/>
  <c r="H794" i="18"/>
  <c r="I794" i="18"/>
  <c r="J794" i="18"/>
  <c r="K794" i="18"/>
  <c r="L794" i="18"/>
  <c r="A795" i="18"/>
  <c r="B795" i="18"/>
  <c r="C795" i="18"/>
  <c r="L795" i="18" s="1"/>
  <c r="D795" i="18"/>
  <c r="E795" i="18"/>
  <c r="F795" i="18"/>
  <c r="G795" i="18"/>
  <c r="H795" i="18"/>
  <c r="I795" i="18"/>
  <c r="J795" i="18"/>
  <c r="K795" i="18"/>
  <c r="A796" i="18"/>
  <c r="B796" i="18"/>
  <c r="C796" i="18"/>
  <c r="D796" i="18"/>
  <c r="E796" i="18"/>
  <c r="F796" i="18"/>
  <c r="G796" i="18"/>
  <c r="H796" i="18"/>
  <c r="I796" i="18"/>
  <c r="J796" i="18"/>
  <c r="K796" i="18"/>
  <c r="L796" i="18"/>
  <c r="A797" i="18"/>
  <c r="B797" i="18"/>
  <c r="C797" i="18"/>
  <c r="L797" i="18" s="1"/>
  <c r="D797" i="18"/>
  <c r="E797" i="18"/>
  <c r="F797" i="18"/>
  <c r="G797" i="18"/>
  <c r="H797" i="18"/>
  <c r="I797" i="18"/>
  <c r="J797" i="18"/>
  <c r="K797" i="18"/>
  <c r="A798" i="18"/>
  <c r="B798" i="18"/>
  <c r="C798" i="18"/>
  <c r="D798" i="18"/>
  <c r="E798" i="18"/>
  <c r="F798" i="18"/>
  <c r="G798" i="18"/>
  <c r="H798" i="18"/>
  <c r="I798" i="18"/>
  <c r="J798" i="18"/>
  <c r="K798" i="18"/>
  <c r="L798" i="18"/>
  <c r="A799" i="18"/>
  <c r="B799" i="18"/>
  <c r="C799" i="18"/>
  <c r="L799" i="18" s="1"/>
  <c r="D799" i="18"/>
  <c r="E799" i="18"/>
  <c r="F799" i="18"/>
  <c r="G799" i="18"/>
  <c r="H799" i="18"/>
  <c r="I799" i="18"/>
  <c r="J799" i="18"/>
  <c r="K799" i="18"/>
  <c r="A800" i="18"/>
  <c r="B800" i="18"/>
  <c r="C800" i="18"/>
  <c r="D800" i="18"/>
  <c r="E800" i="18"/>
  <c r="F800" i="18"/>
  <c r="G800" i="18"/>
  <c r="H800" i="18"/>
  <c r="I800" i="18"/>
  <c r="J800" i="18"/>
  <c r="K800" i="18"/>
  <c r="L800" i="18"/>
  <c r="A801" i="18"/>
  <c r="B801" i="18"/>
  <c r="C801" i="18"/>
  <c r="L801" i="18" s="1"/>
  <c r="D801" i="18"/>
  <c r="E801" i="18"/>
  <c r="F801" i="18"/>
  <c r="G801" i="18"/>
  <c r="H801" i="18"/>
  <c r="I801" i="18"/>
  <c r="J801" i="18"/>
  <c r="K801" i="18"/>
  <c r="A802" i="18"/>
  <c r="B802" i="18"/>
  <c r="C802" i="18"/>
  <c r="D802" i="18"/>
  <c r="E802" i="18"/>
  <c r="F802" i="18"/>
  <c r="G802" i="18"/>
  <c r="H802" i="18"/>
  <c r="I802" i="18"/>
  <c r="J802" i="18"/>
  <c r="K802" i="18"/>
  <c r="L802" i="18"/>
  <c r="A803" i="18"/>
  <c r="B803" i="18"/>
  <c r="C803" i="18"/>
  <c r="L803" i="18" s="1"/>
  <c r="D803" i="18"/>
  <c r="E803" i="18"/>
  <c r="F803" i="18"/>
  <c r="G803" i="18"/>
  <c r="H803" i="18"/>
  <c r="I803" i="18"/>
  <c r="J803" i="18"/>
  <c r="K803" i="18"/>
  <c r="A804" i="18"/>
  <c r="B804" i="18"/>
  <c r="C804" i="18"/>
  <c r="D804" i="18"/>
  <c r="E804" i="18"/>
  <c r="F804" i="18"/>
  <c r="G804" i="18"/>
  <c r="H804" i="18"/>
  <c r="I804" i="18"/>
  <c r="J804" i="18"/>
  <c r="K804" i="18"/>
  <c r="L804" i="18"/>
  <c r="A805" i="18"/>
  <c r="B805" i="18"/>
  <c r="C805" i="18"/>
  <c r="L805" i="18" s="1"/>
  <c r="D805" i="18"/>
  <c r="E805" i="18"/>
  <c r="F805" i="18"/>
  <c r="G805" i="18"/>
  <c r="H805" i="18"/>
  <c r="I805" i="18"/>
  <c r="J805" i="18"/>
  <c r="K805" i="18"/>
  <c r="A806" i="18"/>
  <c r="B806" i="18"/>
  <c r="C806" i="18"/>
  <c r="D806" i="18"/>
  <c r="E806" i="18"/>
  <c r="F806" i="18"/>
  <c r="G806" i="18"/>
  <c r="H806" i="18"/>
  <c r="I806" i="18"/>
  <c r="J806" i="18"/>
  <c r="K806" i="18"/>
  <c r="L806" i="18"/>
  <c r="A807" i="18"/>
  <c r="B807" i="18"/>
  <c r="C807" i="18"/>
  <c r="L807" i="18" s="1"/>
  <c r="D807" i="18"/>
  <c r="E807" i="18"/>
  <c r="F807" i="18"/>
  <c r="G807" i="18"/>
  <c r="H807" i="18"/>
  <c r="I807" i="18"/>
  <c r="J807" i="18"/>
  <c r="K807" i="18"/>
  <c r="A808" i="18"/>
  <c r="B808" i="18"/>
  <c r="C808" i="18"/>
  <c r="D808" i="18"/>
  <c r="E808" i="18"/>
  <c r="F808" i="18"/>
  <c r="G808" i="18"/>
  <c r="H808" i="18"/>
  <c r="I808" i="18"/>
  <c r="J808" i="18"/>
  <c r="K808" i="18"/>
  <c r="L808" i="18"/>
  <c r="A809" i="18"/>
  <c r="B809" i="18"/>
  <c r="C809" i="18"/>
  <c r="L809" i="18" s="1"/>
  <c r="D809" i="18"/>
  <c r="E809" i="18"/>
  <c r="F809" i="18"/>
  <c r="G809" i="18"/>
  <c r="H809" i="18"/>
  <c r="I809" i="18"/>
  <c r="J809" i="18"/>
  <c r="K809" i="18"/>
  <c r="A810" i="18"/>
  <c r="B810" i="18"/>
  <c r="C810" i="18"/>
  <c r="D810" i="18"/>
  <c r="E810" i="18"/>
  <c r="F810" i="18"/>
  <c r="G810" i="18"/>
  <c r="H810" i="18"/>
  <c r="I810" i="18"/>
  <c r="J810" i="18"/>
  <c r="K810" i="18"/>
  <c r="L810" i="18"/>
  <c r="A811" i="18"/>
  <c r="B811" i="18"/>
  <c r="C811" i="18"/>
  <c r="L811" i="18" s="1"/>
  <c r="D811" i="18"/>
  <c r="E811" i="18"/>
  <c r="F811" i="18"/>
  <c r="G811" i="18"/>
  <c r="H811" i="18"/>
  <c r="I811" i="18"/>
  <c r="J811" i="18"/>
  <c r="K811" i="18"/>
  <c r="A812" i="18"/>
  <c r="B812" i="18"/>
  <c r="C812" i="18"/>
  <c r="D812" i="18"/>
  <c r="E812" i="18"/>
  <c r="F812" i="18"/>
  <c r="G812" i="18"/>
  <c r="H812" i="18"/>
  <c r="I812" i="18"/>
  <c r="J812" i="18"/>
  <c r="K812" i="18"/>
  <c r="L812" i="18"/>
  <c r="A813" i="18"/>
  <c r="B813" i="18"/>
  <c r="C813" i="18"/>
  <c r="L813" i="18" s="1"/>
  <c r="D813" i="18"/>
  <c r="E813" i="18"/>
  <c r="F813" i="18"/>
  <c r="G813" i="18"/>
  <c r="H813" i="18"/>
  <c r="I813" i="18"/>
  <c r="J813" i="18"/>
  <c r="K813" i="18"/>
  <c r="A814" i="18"/>
  <c r="B814" i="18"/>
  <c r="C814" i="18"/>
  <c r="D814" i="18"/>
  <c r="E814" i="18"/>
  <c r="F814" i="18"/>
  <c r="G814" i="18"/>
  <c r="H814" i="18"/>
  <c r="I814" i="18"/>
  <c r="J814" i="18"/>
  <c r="K814" i="18"/>
  <c r="L814" i="18"/>
  <c r="A815" i="18"/>
  <c r="B815" i="18"/>
  <c r="C815" i="18"/>
  <c r="L815" i="18" s="1"/>
  <c r="D815" i="18"/>
  <c r="E815" i="18"/>
  <c r="F815" i="18"/>
  <c r="G815" i="18"/>
  <c r="H815" i="18"/>
  <c r="I815" i="18"/>
  <c r="J815" i="18"/>
  <c r="K815" i="18"/>
  <c r="A816" i="18"/>
  <c r="B816" i="18"/>
  <c r="C816" i="18"/>
  <c r="D816" i="18"/>
  <c r="E816" i="18"/>
  <c r="F816" i="18"/>
  <c r="G816" i="18"/>
  <c r="H816" i="18"/>
  <c r="I816" i="18"/>
  <c r="J816" i="18"/>
  <c r="K816" i="18"/>
  <c r="L816" i="18"/>
  <c r="A817" i="18"/>
  <c r="B817" i="18"/>
  <c r="C817" i="18"/>
  <c r="L817" i="18" s="1"/>
  <c r="D817" i="18"/>
  <c r="E817" i="18"/>
  <c r="F817" i="18"/>
  <c r="G817" i="18"/>
  <c r="H817" i="18"/>
  <c r="I817" i="18"/>
  <c r="J817" i="18"/>
  <c r="K817" i="18"/>
  <c r="A818" i="18"/>
  <c r="B818" i="18"/>
  <c r="C818" i="18"/>
  <c r="D818" i="18"/>
  <c r="E818" i="18"/>
  <c r="F818" i="18"/>
  <c r="G818" i="18"/>
  <c r="H818" i="18"/>
  <c r="I818" i="18"/>
  <c r="J818" i="18"/>
  <c r="K818" i="18"/>
  <c r="L818" i="18"/>
  <c r="A819" i="18"/>
  <c r="B819" i="18"/>
  <c r="C819" i="18"/>
  <c r="L819" i="18" s="1"/>
  <c r="D819" i="18"/>
  <c r="E819" i="18"/>
  <c r="F819" i="18"/>
  <c r="G819" i="18"/>
  <c r="H819" i="18"/>
  <c r="I819" i="18"/>
  <c r="J819" i="18"/>
  <c r="K819" i="18"/>
  <c r="A820" i="18"/>
  <c r="B820" i="18"/>
  <c r="C820" i="18"/>
  <c r="D820" i="18"/>
  <c r="E820" i="18"/>
  <c r="F820" i="18"/>
  <c r="G820" i="18"/>
  <c r="H820" i="18"/>
  <c r="I820" i="18"/>
  <c r="J820" i="18"/>
  <c r="K820" i="18"/>
  <c r="L820" i="18"/>
  <c r="A821" i="18"/>
  <c r="B821" i="18"/>
  <c r="C821" i="18"/>
  <c r="L821" i="18" s="1"/>
  <c r="D821" i="18"/>
  <c r="E821" i="18"/>
  <c r="F821" i="18"/>
  <c r="G821" i="18"/>
  <c r="H821" i="18"/>
  <c r="I821" i="18"/>
  <c r="J821" i="18"/>
  <c r="K821" i="18"/>
  <c r="A822" i="18"/>
  <c r="B822" i="18"/>
  <c r="C822" i="18"/>
  <c r="D822" i="18"/>
  <c r="E822" i="18"/>
  <c r="F822" i="18"/>
  <c r="G822" i="18"/>
  <c r="H822" i="18"/>
  <c r="I822" i="18"/>
  <c r="J822" i="18"/>
  <c r="K822" i="18"/>
  <c r="L822" i="18"/>
  <c r="A823" i="18"/>
  <c r="B823" i="18"/>
  <c r="C823" i="18"/>
  <c r="L823" i="18" s="1"/>
  <c r="D823" i="18"/>
  <c r="E823" i="18"/>
  <c r="F823" i="18"/>
  <c r="G823" i="18"/>
  <c r="H823" i="18"/>
  <c r="I823" i="18"/>
  <c r="J823" i="18"/>
  <c r="K823" i="18"/>
  <c r="A824" i="18"/>
  <c r="B824" i="18"/>
  <c r="C824" i="18"/>
  <c r="D824" i="18"/>
  <c r="E824" i="18"/>
  <c r="F824" i="18"/>
  <c r="G824" i="18"/>
  <c r="H824" i="18"/>
  <c r="I824" i="18"/>
  <c r="J824" i="18"/>
  <c r="K824" i="18"/>
  <c r="L824" i="18"/>
  <c r="A825" i="18"/>
  <c r="B825" i="18"/>
  <c r="C825" i="18"/>
  <c r="L825" i="18" s="1"/>
  <c r="D825" i="18"/>
  <c r="E825" i="18"/>
  <c r="F825" i="18"/>
  <c r="G825" i="18"/>
  <c r="H825" i="18"/>
  <c r="I825" i="18"/>
  <c r="J825" i="18"/>
  <c r="K825" i="18"/>
  <c r="A826" i="18"/>
  <c r="B826" i="18"/>
  <c r="C826" i="18"/>
  <c r="D826" i="18"/>
  <c r="E826" i="18"/>
  <c r="F826" i="18"/>
  <c r="G826" i="18"/>
  <c r="H826" i="18"/>
  <c r="I826" i="18"/>
  <c r="J826" i="18"/>
  <c r="K826" i="18"/>
  <c r="L826" i="18"/>
  <c r="A827" i="18"/>
  <c r="B827" i="18"/>
  <c r="C827" i="18"/>
  <c r="L827" i="18" s="1"/>
  <c r="D827" i="18"/>
  <c r="E827" i="18"/>
  <c r="F827" i="18"/>
  <c r="G827" i="18"/>
  <c r="H827" i="18"/>
  <c r="I827" i="18"/>
  <c r="J827" i="18"/>
  <c r="K827" i="18"/>
  <c r="A828" i="18"/>
  <c r="B828" i="18"/>
  <c r="C828" i="18"/>
  <c r="D828" i="18"/>
  <c r="E828" i="18"/>
  <c r="F828" i="18"/>
  <c r="G828" i="18"/>
  <c r="H828" i="18"/>
  <c r="I828" i="18"/>
  <c r="J828" i="18"/>
  <c r="K828" i="18"/>
  <c r="L828" i="18"/>
  <c r="A829" i="18"/>
  <c r="B829" i="18"/>
  <c r="C829" i="18"/>
  <c r="L829" i="18" s="1"/>
  <c r="D829" i="18"/>
  <c r="E829" i="18"/>
  <c r="F829" i="18"/>
  <c r="G829" i="18"/>
  <c r="H829" i="18"/>
  <c r="I829" i="18"/>
  <c r="J829" i="18"/>
  <c r="K829" i="18"/>
  <c r="A830" i="18"/>
  <c r="B830" i="18"/>
  <c r="C830" i="18"/>
  <c r="D830" i="18"/>
  <c r="E830" i="18"/>
  <c r="F830" i="18"/>
  <c r="G830" i="18"/>
  <c r="H830" i="18"/>
  <c r="I830" i="18"/>
  <c r="J830" i="18"/>
  <c r="K830" i="18"/>
  <c r="L830" i="18"/>
  <c r="A831" i="18"/>
  <c r="B831" i="18"/>
  <c r="C831" i="18"/>
  <c r="L831" i="18" s="1"/>
  <c r="D831" i="18"/>
  <c r="E831" i="18"/>
  <c r="F831" i="18"/>
  <c r="G831" i="18"/>
  <c r="H831" i="18"/>
  <c r="I831" i="18"/>
  <c r="J831" i="18"/>
  <c r="K831" i="18"/>
  <c r="A832" i="18"/>
  <c r="B832" i="18"/>
  <c r="C832" i="18"/>
  <c r="D832" i="18"/>
  <c r="E832" i="18"/>
  <c r="F832" i="18"/>
  <c r="G832" i="18"/>
  <c r="H832" i="18"/>
  <c r="I832" i="18"/>
  <c r="J832" i="18"/>
  <c r="K832" i="18"/>
  <c r="L832" i="18"/>
  <c r="A833" i="18"/>
  <c r="B833" i="18"/>
  <c r="C833" i="18"/>
  <c r="L833" i="18" s="1"/>
  <c r="D833" i="18"/>
  <c r="E833" i="18"/>
  <c r="F833" i="18"/>
  <c r="G833" i="18"/>
  <c r="H833" i="18"/>
  <c r="I833" i="18"/>
  <c r="J833" i="18"/>
  <c r="K833" i="18"/>
  <c r="A834" i="18"/>
  <c r="B834" i="18"/>
  <c r="C834" i="18"/>
  <c r="D834" i="18"/>
  <c r="E834" i="18"/>
  <c r="F834" i="18"/>
  <c r="G834" i="18"/>
  <c r="H834" i="18"/>
  <c r="I834" i="18"/>
  <c r="J834" i="18"/>
  <c r="K834" i="18"/>
  <c r="L834" i="18"/>
  <c r="A835" i="18"/>
  <c r="B835" i="18"/>
  <c r="C835" i="18"/>
  <c r="L835" i="18" s="1"/>
  <c r="D835" i="18"/>
  <c r="E835" i="18"/>
  <c r="F835" i="18"/>
  <c r="G835" i="18"/>
  <c r="H835" i="18"/>
  <c r="I835" i="18"/>
  <c r="J835" i="18"/>
  <c r="K835" i="18"/>
  <c r="A836" i="18"/>
  <c r="B836" i="18"/>
  <c r="C836" i="18"/>
  <c r="D836" i="18"/>
  <c r="E836" i="18"/>
  <c r="F836" i="18"/>
  <c r="G836" i="18"/>
  <c r="H836" i="18"/>
  <c r="I836" i="18"/>
  <c r="J836" i="18"/>
  <c r="K836" i="18"/>
  <c r="L836" i="18"/>
  <c r="A837" i="18"/>
  <c r="B837" i="18"/>
  <c r="C837" i="18"/>
  <c r="L837" i="18" s="1"/>
  <c r="D837" i="18"/>
  <c r="E837" i="18"/>
  <c r="F837" i="18"/>
  <c r="G837" i="18"/>
  <c r="H837" i="18"/>
  <c r="I837" i="18"/>
  <c r="J837" i="18"/>
  <c r="K837" i="18"/>
  <c r="A838" i="18"/>
  <c r="B838" i="18"/>
  <c r="C838" i="18"/>
  <c r="D838" i="18"/>
  <c r="E838" i="18"/>
  <c r="F838" i="18"/>
  <c r="G838" i="18"/>
  <c r="H838" i="18"/>
  <c r="I838" i="18"/>
  <c r="J838" i="18"/>
  <c r="K838" i="18"/>
  <c r="L838" i="18"/>
  <c r="A839" i="18"/>
  <c r="B839" i="18"/>
  <c r="C839" i="18"/>
  <c r="L839" i="18" s="1"/>
  <c r="D839" i="18"/>
  <c r="E839" i="18"/>
  <c r="F839" i="18"/>
  <c r="G839" i="18"/>
  <c r="H839" i="18"/>
  <c r="I839" i="18"/>
  <c r="J839" i="18"/>
  <c r="K839" i="18"/>
  <c r="A840" i="18"/>
  <c r="B840" i="18"/>
  <c r="C840" i="18"/>
  <c r="D840" i="18"/>
  <c r="E840" i="18"/>
  <c r="F840" i="18"/>
  <c r="G840" i="18"/>
  <c r="H840" i="18"/>
  <c r="I840" i="18"/>
  <c r="J840" i="18"/>
  <c r="K840" i="18"/>
  <c r="L840" i="18"/>
  <c r="A841" i="18"/>
  <c r="B841" i="18"/>
  <c r="C841" i="18"/>
  <c r="L841" i="18" s="1"/>
  <c r="D841" i="18"/>
  <c r="E841" i="18"/>
  <c r="F841" i="18"/>
  <c r="G841" i="18"/>
  <c r="H841" i="18"/>
  <c r="I841" i="18"/>
  <c r="J841" i="18"/>
  <c r="K841" i="18"/>
  <c r="A842" i="18"/>
  <c r="B842" i="18"/>
  <c r="C842" i="18"/>
  <c r="D842" i="18"/>
  <c r="E842" i="18"/>
  <c r="F842" i="18"/>
  <c r="G842" i="18"/>
  <c r="H842" i="18"/>
  <c r="I842" i="18"/>
  <c r="J842" i="18"/>
  <c r="K842" i="18"/>
  <c r="L842" i="18"/>
  <c r="A843" i="18"/>
  <c r="B843" i="18"/>
  <c r="C843" i="18"/>
  <c r="L843" i="18" s="1"/>
  <c r="D843" i="18"/>
  <c r="E843" i="18"/>
  <c r="F843" i="18"/>
  <c r="G843" i="18"/>
  <c r="H843" i="18"/>
  <c r="I843" i="18"/>
  <c r="J843" i="18"/>
  <c r="K843" i="18"/>
  <c r="A844" i="18"/>
  <c r="B844" i="18"/>
  <c r="C844" i="18"/>
  <c r="D844" i="18"/>
  <c r="E844" i="18"/>
  <c r="F844" i="18"/>
  <c r="G844" i="18"/>
  <c r="H844" i="18"/>
  <c r="I844" i="18"/>
  <c r="J844" i="18"/>
  <c r="K844" i="18"/>
  <c r="L844" i="18"/>
  <c r="A845" i="18"/>
  <c r="B845" i="18"/>
  <c r="C845" i="18"/>
  <c r="L845" i="18" s="1"/>
  <c r="D845" i="18"/>
  <c r="E845" i="18"/>
  <c r="F845" i="18"/>
  <c r="G845" i="18"/>
  <c r="H845" i="18"/>
  <c r="I845" i="18"/>
  <c r="J845" i="18"/>
  <c r="K845" i="18"/>
  <c r="A846" i="18"/>
  <c r="B846" i="18"/>
  <c r="C846" i="18"/>
  <c r="D846" i="18"/>
  <c r="E846" i="18"/>
  <c r="F846" i="18"/>
  <c r="G846" i="18"/>
  <c r="H846" i="18"/>
  <c r="I846" i="18"/>
  <c r="J846" i="18"/>
  <c r="K846" i="18"/>
  <c r="L846" i="18"/>
  <c r="A847" i="18"/>
  <c r="B847" i="18"/>
  <c r="C847" i="18"/>
  <c r="L847" i="18" s="1"/>
  <c r="D847" i="18"/>
  <c r="E847" i="18"/>
  <c r="F847" i="18"/>
  <c r="G847" i="18"/>
  <c r="H847" i="18"/>
  <c r="I847" i="18"/>
  <c r="J847" i="18"/>
  <c r="K847" i="18"/>
  <c r="A848" i="18"/>
  <c r="B848" i="18"/>
  <c r="C848" i="18"/>
  <c r="D848" i="18"/>
  <c r="E848" i="18"/>
  <c r="F848" i="18"/>
  <c r="G848" i="18"/>
  <c r="H848" i="18"/>
  <c r="I848" i="18"/>
  <c r="J848" i="18"/>
  <c r="K848" i="18"/>
  <c r="L848" i="18"/>
  <c r="A849" i="18"/>
  <c r="B849" i="18"/>
  <c r="C849" i="18"/>
  <c r="L849" i="18" s="1"/>
  <c r="D849" i="18"/>
  <c r="E849" i="18"/>
  <c r="F849" i="18"/>
  <c r="G849" i="18"/>
  <c r="H849" i="18"/>
  <c r="I849" i="18"/>
  <c r="J849" i="18"/>
  <c r="K849" i="18"/>
  <c r="A850" i="18"/>
  <c r="B850" i="18"/>
  <c r="C850" i="18"/>
  <c r="D850" i="18"/>
  <c r="E850" i="18"/>
  <c r="F850" i="18"/>
  <c r="G850" i="18"/>
  <c r="H850" i="18"/>
  <c r="I850" i="18"/>
  <c r="J850" i="18"/>
  <c r="K850" i="18"/>
  <c r="L850" i="18"/>
  <c r="A851" i="18"/>
  <c r="B851" i="18"/>
  <c r="C851" i="18"/>
  <c r="L851" i="18" s="1"/>
  <c r="D851" i="18"/>
  <c r="E851" i="18"/>
  <c r="F851" i="18"/>
  <c r="G851" i="18"/>
  <c r="H851" i="18"/>
  <c r="I851" i="18"/>
  <c r="J851" i="18"/>
  <c r="K851" i="18"/>
  <c r="A852" i="18"/>
  <c r="B852" i="18"/>
  <c r="C852" i="18"/>
  <c r="D852" i="18"/>
  <c r="E852" i="18"/>
  <c r="F852" i="18"/>
  <c r="G852" i="18"/>
  <c r="H852" i="18"/>
  <c r="I852" i="18"/>
  <c r="J852" i="18"/>
  <c r="K852" i="18"/>
  <c r="L852" i="18"/>
  <c r="A853" i="18"/>
  <c r="B853" i="18"/>
  <c r="C853" i="18"/>
  <c r="L853" i="18" s="1"/>
  <c r="D853" i="18"/>
  <c r="E853" i="18"/>
  <c r="F853" i="18"/>
  <c r="G853" i="18"/>
  <c r="H853" i="18"/>
  <c r="I853" i="18"/>
  <c r="J853" i="18"/>
  <c r="K853" i="18"/>
  <c r="A854" i="18"/>
  <c r="B854" i="18"/>
  <c r="C854" i="18"/>
  <c r="D854" i="18"/>
  <c r="E854" i="18"/>
  <c r="F854" i="18"/>
  <c r="G854" i="18"/>
  <c r="H854" i="18"/>
  <c r="I854" i="18"/>
  <c r="J854" i="18"/>
  <c r="K854" i="18"/>
  <c r="L854" i="18"/>
  <c r="A855" i="18"/>
  <c r="B855" i="18"/>
  <c r="C855" i="18"/>
  <c r="L855" i="18" s="1"/>
  <c r="D855" i="18"/>
  <c r="E855" i="18"/>
  <c r="F855" i="18"/>
  <c r="G855" i="18"/>
  <c r="H855" i="18"/>
  <c r="I855" i="18"/>
  <c r="J855" i="18"/>
  <c r="K855" i="18"/>
  <c r="A856" i="18"/>
  <c r="B856" i="18"/>
  <c r="C856" i="18"/>
  <c r="D856" i="18"/>
  <c r="E856" i="18"/>
  <c r="F856" i="18"/>
  <c r="G856" i="18"/>
  <c r="H856" i="18"/>
  <c r="I856" i="18"/>
  <c r="J856" i="18"/>
  <c r="K856" i="18"/>
  <c r="L856" i="18"/>
  <c r="A857" i="18"/>
  <c r="B857" i="18"/>
  <c r="C857" i="18"/>
  <c r="L857" i="18" s="1"/>
  <c r="D857" i="18"/>
  <c r="E857" i="18"/>
  <c r="F857" i="18"/>
  <c r="G857" i="18"/>
  <c r="H857" i="18"/>
  <c r="I857" i="18"/>
  <c r="J857" i="18"/>
  <c r="K857" i="18"/>
  <c r="A858" i="18"/>
  <c r="B858" i="18"/>
  <c r="C858" i="18"/>
  <c r="D858" i="18"/>
  <c r="E858" i="18"/>
  <c r="F858" i="18"/>
  <c r="G858" i="18"/>
  <c r="H858" i="18"/>
  <c r="I858" i="18"/>
  <c r="J858" i="18"/>
  <c r="K858" i="18"/>
  <c r="L858" i="18"/>
  <c r="A859" i="18"/>
  <c r="B859" i="18"/>
  <c r="C859" i="18"/>
  <c r="L859" i="18" s="1"/>
  <c r="D859" i="18"/>
  <c r="E859" i="18"/>
  <c r="F859" i="18"/>
  <c r="G859" i="18"/>
  <c r="H859" i="18"/>
  <c r="I859" i="18"/>
  <c r="J859" i="18"/>
  <c r="K859" i="18"/>
  <c r="A860" i="18"/>
  <c r="B860" i="18"/>
  <c r="C860" i="18"/>
  <c r="D860" i="18"/>
  <c r="E860" i="18"/>
  <c r="F860" i="18"/>
  <c r="G860" i="18"/>
  <c r="H860" i="18"/>
  <c r="I860" i="18"/>
  <c r="J860" i="18"/>
  <c r="K860" i="18"/>
  <c r="L860" i="18"/>
  <c r="A861" i="18"/>
  <c r="B861" i="18"/>
  <c r="C861" i="18"/>
  <c r="L861" i="18" s="1"/>
  <c r="D861" i="18"/>
  <c r="E861" i="18"/>
  <c r="F861" i="18"/>
  <c r="G861" i="18"/>
  <c r="H861" i="18"/>
  <c r="I861" i="18"/>
  <c r="J861" i="18"/>
  <c r="K861" i="18"/>
  <c r="A862" i="18"/>
  <c r="B862" i="18"/>
  <c r="C862" i="18"/>
  <c r="D862" i="18"/>
  <c r="E862" i="18"/>
  <c r="F862" i="18"/>
  <c r="G862" i="18"/>
  <c r="H862" i="18"/>
  <c r="I862" i="18"/>
  <c r="J862" i="18"/>
  <c r="K862" i="18"/>
  <c r="L862" i="18"/>
  <c r="A863" i="18"/>
  <c r="B863" i="18"/>
  <c r="C863" i="18"/>
  <c r="L863" i="18" s="1"/>
  <c r="D863" i="18"/>
  <c r="E863" i="18"/>
  <c r="F863" i="18"/>
  <c r="G863" i="18"/>
  <c r="H863" i="18"/>
  <c r="I863" i="18"/>
  <c r="J863" i="18"/>
  <c r="K863" i="18"/>
  <c r="A864" i="18"/>
  <c r="B864" i="18"/>
  <c r="C864" i="18"/>
  <c r="D864" i="18"/>
  <c r="E864" i="18"/>
  <c r="F864" i="18"/>
  <c r="G864" i="18"/>
  <c r="H864" i="18"/>
  <c r="I864" i="18"/>
  <c r="J864" i="18"/>
  <c r="K864" i="18"/>
  <c r="L864" i="18"/>
  <c r="A865" i="18"/>
  <c r="B865" i="18"/>
  <c r="C865" i="18"/>
  <c r="L865" i="18" s="1"/>
  <c r="D865" i="18"/>
  <c r="E865" i="18"/>
  <c r="F865" i="18"/>
  <c r="G865" i="18"/>
  <c r="H865" i="18"/>
  <c r="I865" i="18"/>
  <c r="J865" i="18"/>
  <c r="K865" i="18"/>
  <c r="A866" i="18"/>
  <c r="B866" i="18"/>
  <c r="C866" i="18"/>
  <c r="D866" i="18"/>
  <c r="E866" i="18"/>
  <c r="F866" i="18"/>
  <c r="G866" i="18"/>
  <c r="H866" i="18"/>
  <c r="I866" i="18"/>
  <c r="J866" i="18"/>
  <c r="K866" i="18"/>
  <c r="L866" i="18"/>
  <c r="A867" i="18"/>
  <c r="B867" i="18"/>
  <c r="C867" i="18"/>
  <c r="L867" i="18" s="1"/>
  <c r="D867" i="18"/>
  <c r="E867" i="18"/>
  <c r="F867" i="18"/>
  <c r="G867" i="18"/>
  <c r="H867" i="18"/>
  <c r="I867" i="18"/>
  <c r="J867" i="18"/>
  <c r="K867" i="18"/>
  <c r="A868" i="18"/>
  <c r="B868" i="18"/>
  <c r="C868" i="18"/>
  <c r="D868" i="18"/>
  <c r="E868" i="18"/>
  <c r="F868" i="18"/>
  <c r="G868" i="18"/>
  <c r="H868" i="18"/>
  <c r="I868" i="18"/>
  <c r="J868" i="18"/>
  <c r="K868" i="18"/>
  <c r="L868" i="18"/>
  <c r="A869" i="18"/>
  <c r="B869" i="18"/>
  <c r="C869" i="18"/>
  <c r="L869" i="18" s="1"/>
  <c r="D869" i="18"/>
  <c r="E869" i="18"/>
  <c r="F869" i="18"/>
  <c r="G869" i="18"/>
  <c r="H869" i="18"/>
  <c r="I869" i="18"/>
  <c r="J869" i="18"/>
  <c r="K869" i="18"/>
  <c r="A870" i="18"/>
  <c r="B870" i="18"/>
  <c r="C870" i="18"/>
  <c r="D870" i="18"/>
  <c r="E870" i="18"/>
  <c r="F870" i="18"/>
  <c r="G870" i="18"/>
  <c r="H870" i="18"/>
  <c r="I870" i="18"/>
  <c r="J870" i="18"/>
  <c r="K870" i="18"/>
  <c r="L870" i="18"/>
  <c r="A871" i="18"/>
  <c r="B871" i="18"/>
  <c r="C871" i="18"/>
  <c r="L871" i="18" s="1"/>
  <c r="D871" i="18"/>
  <c r="E871" i="18"/>
  <c r="F871" i="18"/>
  <c r="G871" i="18"/>
  <c r="H871" i="18"/>
  <c r="I871" i="18"/>
  <c r="J871" i="18"/>
  <c r="K871" i="18"/>
  <c r="A872" i="18"/>
  <c r="B872" i="18"/>
  <c r="C872" i="18"/>
  <c r="D872" i="18"/>
  <c r="E872" i="18"/>
  <c r="F872" i="18"/>
  <c r="G872" i="18"/>
  <c r="H872" i="18"/>
  <c r="I872" i="18"/>
  <c r="J872" i="18"/>
  <c r="K872" i="18"/>
  <c r="L872" i="18"/>
  <c r="A873" i="18"/>
  <c r="B873" i="18"/>
  <c r="C873" i="18"/>
  <c r="L873" i="18" s="1"/>
  <c r="D873" i="18"/>
  <c r="E873" i="18"/>
  <c r="F873" i="18"/>
  <c r="G873" i="18"/>
  <c r="H873" i="18"/>
  <c r="I873" i="18"/>
  <c r="J873" i="18"/>
  <c r="K873" i="18"/>
  <c r="A874" i="18"/>
  <c r="B874" i="18"/>
  <c r="C874" i="18"/>
  <c r="D874" i="18"/>
  <c r="E874" i="18"/>
  <c r="F874" i="18"/>
  <c r="G874" i="18"/>
  <c r="H874" i="18"/>
  <c r="I874" i="18"/>
  <c r="J874" i="18"/>
  <c r="K874" i="18"/>
  <c r="L874" i="18"/>
  <c r="A875" i="18"/>
  <c r="B875" i="18"/>
  <c r="C875" i="18"/>
  <c r="L875" i="18" s="1"/>
  <c r="D875" i="18"/>
  <c r="E875" i="18"/>
  <c r="F875" i="18"/>
  <c r="G875" i="18"/>
  <c r="H875" i="18"/>
  <c r="I875" i="18"/>
  <c r="J875" i="18"/>
  <c r="K875" i="18"/>
  <c r="A876" i="18"/>
  <c r="B876" i="18"/>
  <c r="C876" i="18"/>
  <c r="D876" i="18"/>
  <c r="E876" i="18"/>
  <c r="F876" i="18"/>
  <c r="G876" i="18"/>
  <c r="H876" i="18"/>
  <c r="I876" i="18"/>
  <c r="J876" i="18"/>
  <c r="K876" i="18"/>
  <c r="L876" i="18"/>
  <c r="A877" i="18"/>
  <c r="B877" i="18"/>
  <c r="C877" i="18"/>
  <c r="L877" i="18" s="1"/>
  <c r="D877" i="18"/>
  <c r="E877" i="18"/>
  <c r="F877" i="18"/>
  <c r="G877" i="18"/>
  <c r="H877" i="18"/>
  <c r="I877" i="18"/>
  <c r="J877" i="18"/>
  <c r="K877" i="18"/>
  <c r="A878" i="18"/>
  <c r="B878" i="18"/>
  <c r="C878" i="18"/>
  <c r="D878" i="18"/>
  <c r="E878" i="18"/>
  <c r="F878" i="18"/>
  <c r="G878" i="18"/>
  <c r="H878" i="18"/>
  <c r="I878" i="18"/>
  <c r="J878" i="18"/>
  <c r="K878" i="18"/>
  <c r="L878" i="18"/>
  <c r="A879" i="18"/>
  <c r="B879" i="18"/>
  <c r="C879" i="18"/>
  <c r="L879" i="18" s="1"/>
  <c r="D879" i="18"/>
  <c r="E879" i="18"/>
  <c r="F879" i="18"/>
  <c r="G879" i="18"/>
  <c r="H879" i="18"/>
  <c r="I879" i="18"/>
  <c r="J879" i="18"/>
  <c r="K879" i="18"/>
  <c r="A880" i="18"/>
  <c r="B880" i="18"/>
  <c r="C880" i="18"/>
  <c r="D880" i="18"/>
  <c r="E880" i="18"/>
  <c r="F880" i="18"/>
  <c r="G880" i="18"/>
  <c r="H880" i="18"/>
  <c r="I880" i="18"/>
  <c r="J880" i="18"/>
  <c r="K880" i="18"/>
  <c r="L880" i="18"/>
  <c r="A881" i="18"/>
  <c r="B881" i="18"/>
  <c r="C881" i="18"/>
  <c r="L881" i="18" s="1"/>
  <c r="D881" i="18"/>
  <c r="E881" i="18"/>
  <c r="F881" i="18"/>
  <c r="G881" i="18"/>
  <c r="H881" i="18"/>
  <c r="I881" i="18"/>
  <c r="J881" i="18"/>
  <c r="K881" i="18"/>
  <c r="A882" i="18"/>
  <c r="B882" i="18"/>
  <c r="C882" i="18"/>
  <c r="D882" i="18"/>
  <c r="E882" i="18"/>
  <c r="F882" i="18"/>
  <c r="G882" i="18"/>
  <c r="H882" i="18"/>
  <c r="I882" i="18"/>
  <c r="J882" i="18"/>
  <c r="K882" i="18"/>
  <c r="L882" i="18"/>
  <c r="A883" i="18"/>
  <c r="B883" i="18"/>
  <c r="C883" i="18"/>
  <c r="L883" i="18" s="1"/>
  <c r="D883" i="18"/>
  <c r="E883" i="18"/>
  <c r="F883" i="18"/>
  <c r="G883" i="18"/>
  <c r="H883" i="18"/>
  <c r="I883" i="18"/>
  <c r="J883" i="18"/>
  <c r="K883" i="18"/>
  <c r="A884" i="18"/>
  <c r="B884" i="18"/>
  <c r="C884" i="18"/>
  <c r="D884" i="18"/>
  <c r="E884" i="18"/>
  <c r="F884" i="18"/>
  <c r="G884" i="18"/>
  <c r="H884" i="18"/>
  <c r="I884" i="18"/>
  <c r="J884" i="18"/>
  <c r="K884" i="18"/>
  <c r="L884" i="18"/>
  <c r="A885" i="18"/>
  <c r="B885" i="18"/>
  <c r="C885" i="18"/>
  <c r="L885" i="18" s="1"/>
  <c r="D885" i="18"/>
  <c r="E885" i="18"/>
  <c r="F885" i="18"/>
  <c r="G885" i="18"/>
  <c r="H885" i="18"/>
  <c r="I885" i="18"/>
  <c r="J885" i="18"/>
  <c r="K885" i="18"/>
  <c r="A886" i="18"/>
  <c r="B886" i="18"/>
  <c r="C886" i="18"/>
  <c r="D886" i="18"/>
  <c r="E886" i="18"/>
  <c r="F886" i="18"/>
  <c r="G886" i="18"/>
  <c r="H886" i="18"/>
  <c r="I886" i="18"/>
  <c r="J886" i="18"/>
  <c r="K886" i="18"/>
  <c r="L886" i="18"/>
  <c r="A887" i="18"/>
  <c r="B887" i="18"/>
  <c r="C887" i="18"/>
  <c r="L887" i="18" s="1"/>
  <c r="D887" i="18"/>
  <c r="E887" i="18"/>
  <c r="F887" i="18"/>
  <c r="G887" i="18"/>
  <c r="H887" i="18"/>
  <c r="I887" i="18"/>
  <c r="J887" i="18"/>
  <c r="K887" i="18"/>
  <c r="A888" i="18"/>
  <c r="B888" i="18"/>
  <c r="C888" i="18"/>
  <c r="D888" i="18"/>
  <c r="E888" i="18"/>
  <c r="F888" i="18"/>
  <c r="G888" i="18"/>
  <c r="H888" i="18"/>
  <c r="I888" i="18"/>
  <c r="J888" i="18"/>
  <c r="K888" i="18"/>
  <c r="L888" i="18"/>
  <c r="A889" i="18"/>
  <c r="B889" i="18"/>
  <c r="C889" i="18"/>
  <c r="L889" i="18" s="1"/>
  <c r="D889" i="18"/>
  <c r="E889" i="18"/>
  <c r="F889" i="18"/>
  <c r="G889" i="18"/>
  <c r="H889" i="18"/>
  <c r="I889" i="18"/>
  <c r="J889" i="18"/>
  <c r="K889" i="18"/>
  <c r="A890" i="18"/>
  <c r="B890" i="18"/>
  <c r="C890" i="18"/>
  <c r="D890" i="18"/>
  <c r="E890" i="18"/>
  <c r="F890" i="18"/>
  <c r="G890" i="18"/>
  <c r="H890" i="18"/>
  <c r="I890" i="18"/>
  <c r="J890" i="18"/>
  <c r="K890" i="18"/>
  <c r="L890" i="18"/>
  <c r="A891" i="18"/>
  <c r="B891" i="18"/>
  <c r="C891" i="18"/>
  <c r="L891" i="18" s="1"/>
  <c r="D891" i="18"/>
  <c r="E891" i="18"/>
  <c r="F891" i="18"/>
  <c r="G891" i="18"/>
  <c r="H891" i="18"/>
  <c r="I891" i="18"/>
  <c r="J891" i="18"/>
  <c r="K891" i="18"/>
  <c r="A892" i="18"/>
  <c r="B892" i="18"/>
  <c r="C892" i="18"/>
  <c r="D892" i="18"/>
  <c r="E892" i="18"/>
  <c r="F892" i="18"/>
  <c r="G892" i="18"/>
  <c r="H892" i="18"/>
  <c r="I892" i="18"/>
  <c r="J892" i="18"/>
  <c r="K892" i="18"/>
  <c r="L892" i="18"/>
  <c r="A893" i="18"/>
  <c r="B893" i="18"/>
  <c r="C893" i="18"/>
  <c r="L893" i="18" s="1"/>
  <c r="D893" i="18"/>
  <c r="E893" i="18"/>
  <c r="F893" i="18"/>
  <c r="G893" i="18"/>
  <c r="H893" i="18"/>
  <c r="I893" i="18"/>
  <c r="J893" i="18"/>
  <c r="K893" i="18"/>
  <c r="A894" i="18"/>
  <c r="B894" i="18"/>
  <c r="C894" i="18"/>
  <c r="D894" i="18"/>
  <c r="E894" i="18"/>
  <c r="F894" i="18"/>
  <c r="G894" i="18"/>
  <c r="H894" i="18"/>
  <c r="I894" i="18"/>
  <c r="J894" i="18"/>
  <c r="K894" i="18"/>
  <c r="L894" i="18"/>
  <c r="A895" i="18"/>
  <c r="B895" i="18"/>
  <c r="C895" i="18"/>
  <c r="L895" i="18" s="1"/>
  <c r="D895" i="18"/>
  <c r="E895" i="18"/>
  <c r="F895" i="18"/>
  <c r="G895" i="18"/>
  <c r="H895" i="18"/>
  <c r="I895" i="18"/>
  <c r="J895" i="18"/>
  <c r="K895" i="18"/>
  <c r="A896" i="18"/>
  <c r="B896" i="18"/>
  <c r="C896" i="18"/>
  <c r="D896" i="18"/>
  <c r="E896" i="18"/>
  <c r="F896" i="18"/>
  <c r="G896" i="18"/>
  <c r="H896" i="18"/>
  <c r="I896" i="18"/>
  <c r="J896" i="18"/>
  <c r="K896" i="18"/>
  <c r="L896" i="18"/>
  <c r="A897" i="18"/>
  <c r="B897" i="18"/>
  <c r="C897" i="18"/>
  <c r="L897" i="18" s="1"/>
  <c r="D897" i="18"/>
  <c r="E897" i="18"/>
  <c r="F897" i="18"/>
  <c r="G897" i="18"/>
  <c r="H897" i="18"/>
  <c r="I897" i="18"/>
  <c r="J897" i="18"/>
  <c r="K897" i="18"/>
  <c r="A898" i="18"/>
  <c r="B898" i="18"/>
  <c r="C898" i="18"/>
  <c r="D898" i="18"/>
  <c r="E898" i="18"/>
  <c r="F898" i="18"/>
  <c r="G898" i="18"/>
  <c r="H898" i="18"/>
  <c r="I898" i="18"/>
  <c r="J898" i="18"/>
  <c r="K898" i="18"/>
  <c r="L898" i="18"/>
  <c r="A899" i="18"/>
  <c r="B899" i="18"/>
  <c r="C899" i="18"/>
  <c r="L899" i="18" s="1"/>
  <c r="D899" i="18"/>
  <c r="E899" i="18"/>
  <c r="F899" i="18"/>
  <c r="G899" i="18"/>
  <c r="H899" i="18"/>
  <c r="I899" i="18"/>
  <c r="J899" i="18"/>
  <c r="K899" i="18"/>
  <c r="A900" i="18"/>
  <c r="B900" i="18"/>
  <c r="C900" i="18"/>
  <c r="D900" i="18"/>
  <c r="E900" i="18"/>
  <c r="F900" i="18"/>
  <c r="G900" i="18"/>
  <c r="H900" i="18"/>
  <c r="I900" i="18"/>
  <c r="J900" i="18"/>
  <c r="K900" i="18"/>
  <c r="L900" i="18"/>
  <c r="A901" i="18"/>
  <c r="B901" i="18"/>
  <c r="I901" i="18" s="1"/>
  <c r="C901" i="18"/>
  <c r="L901" i="18" s="1"/>
  <c r="D901" i="18"/>
  <c r="E901" i="18"/>
  <c r="F901" i="18"/>
  <c r="G901" i="18"/>
  <c r="H901" i="18"/>
  <c r="J901" i="18"/>
  <c r="A902" i="18"/>
  <c r="B902" i="18"/>
  <c r="C902" i="18"/>
  <c r="D902" i="18"/>
  <c r="E902" i="18"/>
  <c r="F902" i="18"/>
  <c r="G902" i="18"/>
  <c r="H902" i="18"/>
  <c r="I902" i="18"/>
  <c r="J902" i="18"/>
  <c r="K902" i="18"/>
  <c r="L902" i="18"/>
  <c r="A903" i="18"/>
  <c r="B903" i="18"/>
  <c r="I903" i="18" s="1"/>
  <c r="C903" i="18"/>
  <c r="L903" i="18" s="1"/>
  <c r="D903" i="18"/>
  <c r="E903" i="18"/>
  <c r="F903" i="18"/>
  <c r="G903" i="18"/>
  <c r="H903" i="18"/>
  <c r="J903" i="18"/>
  <c r="A904" i="18"/>
  <c r="B904" i="18"/>
  <c r="C904" i="18"/>
  <c r="D904" i="18"/>
  <c r="E904" i="18"/>
  <c r="F904" i="18"/>
  <c r="G904" i="18"/>
  <c r="H904" i="18"/>
  <c r="I904" i="18"/>
  <c r="J904" i="18"/>
  <c r="K904" i="18"/>
  <c r="L904" i="18"/>
  <c r="A905" i="18"/>
  <c r="B905" i="18"/>
  <c r="I905" i="18" s="1"/>
  <c r="C905" i="18"/>
  <c r="L905" i="18" s="1"/>
  <c r="D905" i="18"/>
  <c r="E905" i="18"/>
  <c r="F905" i="18"/>
  <c r="G905" i="18"/>
  <c r="H905" i="18"/>
  <c r="J905" i="18"/>
  <c r="A906" i="18"/>
  <c r="B906" i="18"/>
  <c r="C906" i="18"/>
  <c r="D906" i="18"/>
  <c r="E906" i="18"/>
  <c r="F906" i="18"/>
  <c r="G906" i="18"/>
  <c r="H906" i="18"/>
  <c r="I906" i="18"/>
  <c r="J906" i="18"/>
  <c r="K906" i="18"/>
  <c r="L906" i="18"/>
  <c r="A907" i="18"/>
  <c r="B907" i="18"/>
  <c r="I907" i="18" s="1"/>
  <c r="C907" i="18"/>
  <c r="L907" i="18" s="1"/>
  <c r="D907" i="18"/>
  <c r="E907" i="18"/>
  <c r="F907" i="18"/>
  <c r="G907" i="18"/>
  <c r="H907" i="18"/>
  <c r="J907" i="18"/>
  <c r="K907" i="18"/>
  <c r="A908" i="18"/>
  <c r="B908" i="18"/>
  <c r="C908" i="18"/>
  <c r="D908" i="18"/>
  <c r="E908" i="18"/>
  <c r="F908" i="18"/>
  <c r="G908" i="18"/>
  <c r="H908" i="18"/>
  <c r="I908" i="18"/>
  <c r="J908" i="18"/>
  <c r="K908" i="18"/>
  <c r="L908" i="18"/>
  <c r="A909" i="18"/>
  <c r="B909" i="18"/>
  <c r="I909" i="18" s="1"/>
  <c r="C909" i="18"/>
  <c r="L909" i="18" s="1"/>
  <c r="D909" i="18"/>
  <c r="E909" i="18"/>
  <c r="F909" i="18"/>
  <c r="G909" i="18"/>
  <c r="H909" i="18"/>
  <c r="J909" i="18"/>
  <c r="A910" i="18"/>
  <c r="B910" i="18"/>
  <c r="C910" i="18"/>
  <c r="D910" i="18"/>
  <c r="E910" i="18"/>
  <c r="F910" i="18"/>
  <c r="G910" i="18"/>
  <c r="H910" i="18"/>
  <c r="I910" i="18"/>
  <c r="J910" i="18"/>
  <c r="K910" i="18"/>
  <c r="L910" i="18"/>
  <c r="A911" i="18"/>
  <c r="B911" i="18"/>
  <c r="I911" i="18" s="1"/>
  <c r="C911" i="18"/>
  <c r="L911" i="18" s="1"/>
  <c r="D911" i="18"/>
  <c r="E911" i="18"/>
  <c r="F911" i="18"/>
  <c r="G911" i="18"/>
  <c r="H911" i="18"/>
  <c r="J911" i="18"/>
  <c r="A912" i="18"/>
  <c r="B912" i="18"/>
  <c r="C912" i="18"/>
  <c r="D912" i="18"/>
  <c r="E912" i="18"/>
  <c r="F912" i="18"/>
  <c r="G912" i="18"/>
  <c r="H912" i="18"/>
  <c r="I912" i="18"/>
  <c r="J912" i="18"/>
  <c r="K912" i="18"/>
  <c r="L912" i="18"/>
  <c r="A913" i="18"/>
  <c r="B913" i="18"/>
  <c r="I913" i="18" s="1"/>
  <c r="C913" i="18"/>
  <c r="L913" i="18" s="1"/>
  <c r="D913" i="18"/>
  <c r="E913" i="18"/>
  <c r="F913" i="18"/>
  <c r="G913" i="18"/>
  <c r="H913" i="18"/>
  <c r="J913" i="18"/>
  <c r="A914" i="18"/>
  <c r="B914" i="18"/>
  <c r="C914" i="18"/>
  <c r="D914" i="18"/>
  <c r="E914" i="18"/>
  <c r="F914" i="18"/>
  <c r="G914" i="18"/>
  <c r="H914" i="18"/>
  <c r="I914" i="18"/>
  <c r="J914" i="18"/>
  <c r="K914" i="18"/>
  <c r="L914" i="18"/>
  <c r="A915" i="18"/>
  <c r="B915" i="18"/>
  <c r="I915" i="18" s="1"/>
  <c r="C915" i="18"/>
  <c r="L915" i="18" s="1"/>
  <c r="D915" i="18"/>
  <c r="E915" i="18"/>
  <c r="F915" i="18"/>
  <c r="G915" i="18"/>
  <c r="H915" i="18"/>
  <c r="J915" i="18"/>
  <c r="K915" i="18"/>
  <c r="A916" i="18"/>
  <c r="B916" i="18"/>
  <c r="C916" i="18"/>
  <c r="D916" i="18"/>
  <c r="E916" i="18"/>
  <c r="F916" i="18"/>
  <c r="G916" i="18"/>
  <c r="H916" i="18"/>
  <c r="I916" i="18"/>
  <c r="J916" i="18"/>
  <c r="K916" i="18"/>
  <c r="L916" i="18"/>
  <c r="A917" i="18"/>
  <c r="B917" i="18"/>
  <c r="I917" i="18" s="1"/>
  <c r="C917" i="18"/>
  <c r="L917" i="18" s="1"/>
  <c r="D917" i="18"/>
  <c r="E917" i="18"/>
  <c r="F917" i="18"/>
  <c r="G917" i="18"/>
  <c r="H917" i="18"/>
  <c r="J917" i="18"/>
  <c r="A918" i="18"/>
  <c r="B918" i="18"/>
  <c r="C918" i="18"/>
  <c r="D918" i="18"/>
  <c r="E918" i="18"/>
  <c r="F918" i="18"/>
  <c r="G918" i="18"/>
  <c r="H918" i="18"/>
  <c r="I918" i="18"/>
  <c r="J918" i="18"/>
  <c r="K918" i="18"/>
  <c r="L918" i="18"/>
  <c r="A919" i="18"/>
  <c r="B919" i="18"/>
  <c r="I919" i="18" s="1"/>
  <c r="C919" i="18"/>
  <c r="L919" i="18" s="1"/>
  <c r="D919" i="18"/>
  <c r="E919" i="18"/>
  <c r="F919" i="18"/>
  <c r="G919" i="18"/>
  <c r="H919" i="18"/>
  <c r="J919" i="18"/>
  <c r="A920" i="18"/>
  <c r="B920" i="18"/>
  <c r="C920" i="18"/>
  <c r="D920" i="18"/>
  <c r="E920" i="18"/>
  <c r="F920" i="18"/>
  <c r="G920" i="18"/>
  <c r="H920" i="18"/>
  <c r="I920" i="18"/>
  <c r="J920" i="18"/>
  <c r="K920" i="18"/>
  <c r="L920" i="18"/>
  <c r="A921" i="18"/>
  <c r="B921" i="18"/>
  <c r="I921" i="18" s="1"/>
  <c r="C921" i="18"/>
  <c r="L921" i="18" s="1"/>
  <c r="D921" i="18"/>
  <c r="E921" i="18"/>
  <c r="F921" i="18"/>
  <c r="G921" i="18"/>
  <c r="H921" i="18"/>
  <c r="J921" i="18"/>
  <c r="A922" i="18"/>
  <c r="B922" i="18"/>
  <c r="C922" i="18"/>
  <c r="D922" i="18"/>
  <c r="E922" i="18"/>
  <c r="F922" i="18"/>
  <c r="G922" i="18"/>
  <c r="H922" i="18"/>
  <c r="I922" i="18"/>
  <c r="J922" i="18"/>
  <c r="K922" i="18"/>
  <c r="L922" i="18"/>
  <c r="A923" i="18"/>
  <c r="B923" i="18"/>
  <c r="I923" i="18" s="1"/>
  <c r="C923" i="18"/>
  <c r="L923" i="18" s="1"/>
  <c r="D923" i="18"/>
  <c r="E923" i="18"/>
  <c r="F923" i="18"/>
  <c r="G923" i="18"/>
  <c r="H923" i="18"/>
  <c r="J923" i="18"/>
  <c r="K923" i="18"/>
  <c r="A924" i="18"/>
  <c r="B924" i="18"/>
  <c r="C924" i="18"/>
  <c r="D924" i="18"/>
  <c r="E924" i="18"/>
  <c r="F924" i="18"/>
  <c r="G924" i="18"/>
  <c r="H924" i="18"/>
  <c r="I924" i="18"/>
  <c r="J924" i="18"/>
  <c r="K924" i="18"/>
  <c r="L924" i="18"/>
  <c r="A925" i="18"/>
  <c r="B925" i="18"/>
  <c r="C925" i="18"/>
  <c r="L925" i="18" s="1"/>
  <c r="D925" i="18"/>
  <c r="E925" i="18"/>
  <c r="F925" i="18"/>
  <c r="G925" i="18"/>
  <c r="H925" i="18"/>
  <c r="I925" i="18"/>
  <c r="J925" i="18"/>
  <c r="K925" i="18"/>
  <c r="A926" i="18"/>
  <c r="B926" i="18"/>
  <c r="C926" i="18"/>
  <c r="D926" i="18"/>
  <c r="E926" i="18"/>
  <c r="F926" i="18"/>
  <c r="G926" i="18"/>
  <c r="H926" i="18"/>
  <c r="I926" i="18"/>
  <c r="J926" i="18"/>
  <c r="K926" i="18"/>
  <c r="L926" i="18"/>
  <c r="A927" i="18"/>
  <c r="B927" i="18"/>
  <c r="I927" i="18" s="1"/>
  <c r="C927" i="18"/>
  <c r="L927" i="18" s="1"/>
  <c r="D927" i="18"/>
  <c r="E927" i="18"/>
  <c r="F927" i="18"/>
  <c r="G927" i="18"/>
  <c r="H927" i="18"/>
  <c r="K927" i="18"/>
  <c r="A928" i="18"/>
  <c r="B928" i="18"/>
  <c r="C928" i="18"/>
  <c r="D928" i="18"/>
  <c r="E928" i="18"/>
  <c r="F928" i="18"/>
  <c r="G928" i="18"/>
  <c r="H928" i="18"/>
  <c r="I928" i="18"/>
  <c r="J928" i="18"/>
  <c r="K928" i="18"/>
  <c r="L928" i="18"/>
  <c r="A929" i="18"/>
  <c r="B929" i="18"/>
  <c r="I929" i="18" s="1"/>
  <c r="C929" i="18"/>
  <c r="L929" i="18" s="1"/>
  <c r="D929" i="18"/>
  <c r="E929" i="18"/>
  <c r="F929" i="18"/>
  <c r="G929" i="18"/>
  <c r="H929" i="18"/>
  <c r="A930" i="18"/>
  <c r="B930" i="18"/>
  <c r="C930" i="18"/>
  <c r="D930" i="18"/>
  <c r="E930" i="18"/>
  <c r="F930" i="18"/>
  <c r="G930" i="18"/>
  <c r="H930" i="18"/>
  <c r="I930" i="18"/>
  <c r="J930" i="18"/>
  <c r="K930" i="18"/>
  <c r="L930" i="18"/>
  <c r="A931" i="18"/>
  <c r="B931" i="18"/>
  <c r="I931" i="18" s="1"/>
  <c r="C931" i="18"/>
  <c r="L931" i="18" s="1"/>
  <c r="D931" i="18"/>
  <c r="E931" i="18"/>
  <c r="F931" i="18"/>
  <c r="G931" i="18"/>
  <c r="H931" i="18"/>
  <c r="J931" i="18"/>
  <c r="A932" i="18"/>
  <c r="B932" i="18"/>
  <c r="C932" i="18"/>
  <c r="D932" i="18"/>
  <c r="E932" i="18"/>
  <c r="F932" i="18"/>
  <c r="G932" i="18"/>
  <c r="H932" i="18"/>
  <c r="I932" i="18"/>
  <c r="J932" i="18"/>
  <c r="K932" i="18"/>
  <c r="L932" i="18"/>
  <c r="A933" i="18"/>
  <c r="B933" i="18"/>
  <c r="I933" i="18" s="1"/>
  <c r="C933" i="18"/>
  <c r="L933" i="18" s="1"/>
  <c r="D933" i="18"/>
  <c r="E933" i="18"/>
  <c r="F933" i="18"/>
  <c r="G933" i="18"/>
  <c r="H933" i="18"/>
  <c r="K933" i="18"/>
  <c r="A934" i="18"/>
  <c r="B934" i="18"/>
  <c r="C934" i="18"/>
  <c r="D934" i="18"/>
  <c r="E934" i="18"/>
  <c r="F934" i="18"/>
  <c r="G934" i="18"/>
  <c r="H934" i="18"/>
  <c r="I934" i="18"/>
  <c r="J934" i="18"/>
  <c r="K934" i="18"/>
  <c r="L934" i="18"/>
  <c r="A935" i="18"/>
  <c r="B935" i="18"/>
  <c r="I935" i="18" s="1"/>
  <c r="C935" i="18"/>
  <c r="L935" i="18" s="1"/>
  <c r="D935" i="18"/>
  <c r="E935" i="18"/>
  <c r="F935" i="18"/>
  <c r="G935" i="18"/>
  <c r="H935" i="18"/>
  <c r="K935" i="18"/>
  <c r="A936" i="18"/>
  <c r="B936" i="18"/>
  <c r="C936" i="18"/>
  <c r="D936" i="18"/>
  <c r="E936" i="18"/>
  <c r="F936" i="18"/>
  <c r="G936" i="18"/>
  <c r="H936" i="18"/>
  <c r="I936" i="18"/>
  <c r="J936" i="18"/>
  <c r="K936" i="18"/>
  <c r="L936" i="18"/>
  <c r="A937" i="18"/>
  <c r="B937" i="18"/>
  <c r="I937" i="18" s="1"/>
  <c r="C937" i="18"/>
  <c r="L937" i="18" s="1"/>
  <c r="D937" i="18"/>
  <c r="E937" i="18"/>
  <c r="F937" i="18"/>
  <c r="G937" i="18"/>
  <c r="H937" i="18"/>
  <c r="J937" i="18"/>
  <c r="A938" i="18"/>
  <c r="B938" i="18"/>
  <c r="C938" i="18"/>
  <c r="D938" i="18"/>
  <c r="E938" i="18"/>
  <c r="F938" i="18"/>
  <c r="G938" i="18"/>
  <c r="H938" i="18"/>
  <c r="I938" i="18"/>
  <c r="J938" i="18"/>
  <c r="K938" i="18"/>
  <c r="L938" i="18"/>
  <c r="A939" i="18"/>
  <c r="B939" i="18"/>
  <c r="I939" i="18" s="1"/>
  <c r="C939" i="18"/>
  <c r="L939" i="18" s="1"/>
  <c r="D939" i="18"/>
  <c r="E939" i="18"/>
  <c r="F939" i="18"/>
  <c r="G939" i="18"/>
  <c r="H939" i="18"/>
  <c r="A940" i="18"/>
  <c r="B940" i="18"/>
  <c r="C940" i="18"/>
  <c r="D940" i="18"/>
  <c r="E940" i="18"/>
  <c r="F940" i="18"/>
  <c r="G940" i="18"/>
  <c r="H940" i="18"/>
  <c r="I940" i="18"/>
  <c r="J940" i="18"/>
  <c r="K940" i="18"/>
  <c r="L940" i="18"/>
  <c r="A941" i="18"/>
  <c r="B941" i="18"/>
  <c r="I941" i="18" s="1"/>
  <c r="C941" i="18"/>
  <c r="L941" i="18" s="1"/>
  <c r="D941" i="18"/>
  <c r="E941" i="18"/>
  <c r="F941" i="18"/>
  <c r="G941" i="18"/>
  <c r="H941" i="18"/>
  <c r="J941" i="18"/>
  <c r="K941" i="18"/>
  <c r="A942" i="18"/>
  <c r="B942" i="18"/>
  <c r="C942" i="18"/>
  <c r="D942" i="18"/>
  <c r="E942" i="18"/>
  <c r="F942" i="18"/>
  <c r="G942" i="18"/>
  <c r="H942" i="18"/>
  <c r="I942" i="18"/>
  <c r="J942" i="18"/>
  <c r="K942" i="18"/>
  <c r="L942" i="18"/>
  <c r="A943" i="18"/>
  <c r="B943" i="18"/>
  <c r="I943" i="18" s="1"/>
  <c r="C943" i="18"/>
  <c r="L943" i="18" s="1"/>
  <c r="D943" i="18"/>
  <c r="E943" i="18"/>
  <c r="F943" i="18"/>
  <c r="G943" i="18"/>
  <c r="H943" i="18"/>
  <c r="J943" i="18"/>
  <c r="A944" i="18"/>
  <c r="B944" i="18"/>
  <c r="C944" i="18"/>
  <c r="D944" i="18"/>
  <c r="E944" i="18"/>
  <c r="F944" i="18"/>
  <c r="G944" i="18"/>
  <c r="H944" i="18"/>
  <c r="I944" i="18"/>
  <c r="J944" i="18"/>
  <c r="K944" i="18"/>
  <c r="L944" i="18"/>
  <c r="A945" i="18"/>
  <c r="B945" i="18"/>
  <c r="I945" i="18" s="1"/>
  <c r="C945" i="18"/>
  <c r="L945" i="18" s="1"/>
  <c r="D945" i="18"/>
  <c r="E945" i="18"/>
  <c r="F945" i="18"/>
  <c r="G945" i="18"/>
  <c r="H945" i="18"/>
  <c r="A946" i="18"/>
  <c r="B946" i="18"/>
  <c r="C946" i="18"/>
  <c r="D946" i="18"/>
  <c r="E946" i="18"/>
  <c r="F946" i="18"/>
  <c r="G946" i="18"/>
  <c r="H946" i="18"/>
  <c r="I946" i="18"/>
  <c r="J946" i="18"/>
  <c r="K946" i="18"/>
  <c r="L946" i="18"/>
  <c r="A947" i="18"/>
  <c r="B947" i="18"/>
  <c r="I947" i="18" s="1"/>
  <c r="C947" i="18"/>
  <c r="L947" i="18" s="1"/>
  <c r="D947" i="18"/>
  <c r="E947" i="18"/>
  <c r="F947" i="18"/>
  <c r="G947" i="18"/>
  <c r="H947" i="18"/>
  <c r="J947" i="18"/>
  <c r="K947" i="18"/>
  <c r="A948" i="18"/>
  <c r="B948" i="18"/>
  <c r="C948" i="18"/>
  <c r="D948" i="18"/>
  <c r="E948" i="18"/>
  <c r="F948" i="18"/>
  <c r="G948" i="18"/>
  <c r="H948" i="18"/>
  <c r="I948" i="18"/>
  <c r="J948" i="18"/>
  <c r="K948" i="18"/>
  <c r="L948" i="18"/>
  <c r="A949" i="18"/>
  <c r="B949" i="18"/>
  <c r="C949" i="18"/>
  <c r="L949" i="18" s="1"/>
  <c r="D949" i="18"/>
  <c r="E949" i="18"/>
  <c r="F949" i="18"/>
  <c r="G949" i="18"/>
  <c r="H949" i="18"/>
  <c r="I949" i="18"/>
  <c r="J949" i="18"/>
  <c r="K949" i="18"/>
  <c r="A950" i="18"/>
  <c r="B950" i="18"/>
  <c r="C950" i="18"/>
  <c r="D950" i="18"/>
  <c r="E950" i="18"/>
  <c r="F950" i="18"/>
  <c r="G950" i="18"/>
  <c r="H950" i="18"/>
  <c r="I950" i="18"/>
  <c r="J950" i="18"/>
  <c r="K950" i="18"/>
  <c r="L950" i="18"/>
  <c r="A951" i="18"/>
  <c r="B951" i="18"/>
  <c r="C951" i="18"/>
  <c r="L951" i="18" s="1"/>
  <c r="D951" i="18"/>
  <c r="E951" i="18"/>
  <c r="F951" i="18"/>
  <c r="G951" i="18"/>
  <c r="H951" i="18"/>
  <c r="I951" i="18"/>
  <c r="J951" i="18"/>
  <c r="K951" i="18"/>
  <c r="A952" i="18"/>
  <c r="B952" i="18"/>
  <c r="C952" i="18"/>
  <c r="D952" i="18"/>
  <c r="E952" i="18"/>
  <c r="F952" i="18"/>
  <c r="G952" i="18"/>
  <c r="H952" i="18"/>
  <c r="I952" i="18"/>
  <c r="J952" i="18"/>
  <c r="K952" i="18"/>
  <c r="L952" i="18"/>
  <c r="A953" i="18"/>
  <c r="B953" i="18"/>
  <c r="I953" i="18" s="1"/>
  <c r="C953" i="18"/>
  <c r="L953" i="18" s="1"/>
  <c r="D953" i="18"/>
  <c r="E953" i="18"/>
  <c r="F953" i="18"/>
  <c r="G953" i="18"/>
  <c r="H953" i="18"/>
  <c r="J953" i="18"/>
  <c r="K953" i="18"/>
  <c r="A954" i="18"/>
  <c r="B954" i="18"/>
  <c r="C954" i="18"/>
  <c r="D954" i="18"/>
  <c r="E954" i="18"/>
  <c r="F954" i="18"/>
  <c r="G954" i="18"/>
  <c r="H954" i="18"/>
  <c r="I954" i="18"/>
  <c r="J954" i="18"/>
  <c r="K954" i="18"/>
  <c r="L954" i="18"/>
  <c r="A955" i="18"/>
  <c r="B955" i="18"/>
  <c r="C955" i="18"/>
  <c r="L955" i="18" s="1"/>
  <c r="D955" i="18"/>
  <c r="E955" i="18"/>
  <c r="F955" i="18"/>
  <c r="G955" i="18"/>
  <c r="H955" i="18"/>
  <c r="I955" i="18"/>
  <c r="J955" i="18"/>
  <c r="K955" i="18"/>
  <c r="A956" i="18"/>
  <c r="B956" i="18"/>
  <c r="C956" i="18"/>
  <c r="D956" i="18"/>
  <c r="E956" i="18"/>
  <c r="F956" i="18"/>
  <c r="G956" i="18"/>
  <c r="H956" i="18"/>
  <c r="I956" i="18"/>
  <c r="J956" i="18"/>
  <c r="K956" i="18"/>
  <c r="L956" i="18"/>
  <c r="A957" i="18"/>
  <c r="B957" i="18"/>
  <c r="I957" i="18" s="1"/>
  <c r="C957" i="18"/>
  <c r="L957" i="18" s="1"/>
  <c r="D957" i="18"/>
  <c r="E957" i="18"/>
  <c r="F957" i="18"/>
  <c r="G957" i="18"/>
  <c r="H957" i="18"/>
  <c r="J957" i="18"/>
  <c r="K957" i="18"/>
  <c r="A958" i="18"/>
  <c r="B958" i="18"/>
  <c r="C958" i="18"/>
  <c r="D958" i="18"/>
  <c r="E958" i="18"/>
  <c r="F958" i="18"/>
  <c r="G958" i="18"/>
  <c r="H958" i="18"/>
  <c r="I958" i="18"/>
  <c r="J958" i="18"/>
  <c r="K958" i="18"/>
  <c r="L958" i="18"/>
  <c r="A959" i="18"/>
  <c r="B959" i="18"/>
  <c r="I959" i="18" s="1"/>
  <c r="C959" i="18"/>
  <c r="L959" i="18" s="1"/>
  <c r="D959" i="18"/>
  <c r="E959" i="18"/>
  <c r="F959" i="18"/>
  <c r="G959" i="18"/>
  <c r="H959" i="18"/>
  <c r="J959" i="18"/>
  <c r="K959" i="18"/>
  <c r="A960" i="18"/>
  <c r="B960" i="18"/>
  <c r="C960" i="18"/>
  <c r="D960" i="18"/>
  <c r="E960" i="18"/>
  <c r="F960" i="18"/>
  <c r="G960" i="18"/>
  <c r="H960" i="18"/>
  <c r="I960" i="18"/>
  <c r="J960" i="18"/>
  <c r="K960" i="18"/>
  <c r="L960" i="18"/>
  <c r="A961" i="18"/>
  <c r="B961" i="18"/>
  <c r="I961" i="18" s="1"/>
  <c r="C961" i="18"/>
  <c r="L961" i="18" s="1"/>
  <c r="D961" i="18"/>
  <c r="E961" i="18"/>
  <c r="F961" i="18"/>
  <c r="G961" i="18"/>
  <c r="H961" i="18"/>
  <c r="J961" i="18"/>
  <c r="K961" i="18"/>
  <c r="A962" i="18"/>
  <c r="B962" i="18"/>
  <c r="C962" i="18"/>
  <c r="D962" i="18"/>
  <c r="E962" i="18"/>
  <c r="F962" i="18"/>
  <c r="G962" i="18"/>
  <c r="H962" i="18"/>
  <c r="I962" i="18"/>
  <c r="J962" i="18"/>
  <c r="K962" i="18"/>
  <c r="L962" i="18"/>
  <c r="A963" i="18"/>
  <c r="B963" i="18"/>
  <c r="I963" i="18" s="1"/>
  <c r="C963" i="18"/>
  <c r="L963" i="18" s="1"/>
  <c r="D963" i="18"/>
  <c r="E963" i="18"/>
  <c r="F963" i="18"/>
  <c r="G963" i="18"/>
  <c r="H963" i="18"/>
  <c r="J963" i="18"/>
  <c r="K963" i="18"/>
  <c r="A964" i="18"/>
  <c r="B964" i="18"/>
  <c r="C964" i="18"/>
  <c r="D964" i="18"/>
  <c r="E964" i="18"/>
  <c r="F964" i="18"/>
  <c r="G964" i="18"/>
  <c r="H964" i="18"/>
  <c r="I964" i="18"/>
  <c r="J964" i="18"/>
  <c r="K964" i="18"/>
  <c r="L964" i="18"/>
  <c r="A965" i="18"/>
  <c r="B965" i="18"/>
  <c r="C965" i="18"/>
  <c r="L965" i="18" s="1"/>
  <c r="D965" i="18"/>
  <c r="E965" i="18"/>
  <c r="F965" i="18"/>
  <c r="G965" i="18"/>
  <c r="H965" i="18"/>
  <c r="I965" i="18"/>
  <c r="J965" i="18"/>
  <c r="K965" i="18"/>
  <c r="A966" i="18"/>
  <c r="B966" i="18"/>
  <c r="C966" i="18"/>
  <c r="D966" i="18"/>
  <c r="E966" i="18"/>
  <c r="F966" i="18"/>
  <c r="G966" i="18"/>
  <c r="H966" i="18"/>
  <c r="I966" i="18"/>
  <c r="J966" i="18"/>
  <c r="K966" i="18"/>
  <c r="L966" i="18"/>
  <c r="A967" i="18"/>
  <c r="B967" i="18"/>
  <c r="C967" i="18"/>
  <c r="L967" i="18" s="1"/>
  <c r="D967" i="18"/>
  <c r="E967" i="18"/>
  <c r="F967" i="18"/>
  <c r="G967" i="18"/>
  <c r="H967" i="18"/>
  <c r="I967" i="18"/>
  <c r="J967" i="18"/>
  <c r="K967" i="18"/>
  <c r="A968" i="18"/>
  <c r="B968" i="18"/>
  <c r="C968" i="18"/>
  <c r="D968" i="18"/>
  <c r="E968" i="18"/>
  <c r="F968" i="18"/>
  <c r="G968" i="18"/>
  <c r="H968" i="18"/>
  <c r="I968" i="18"/>
  <c r="J968" i="18"/>
  <c r="K968" i="18"/>
  <c r="L968" i="18"/>
  <c r="A969" i="18"/>
  <c r="B969" i="18"/>
  <c r="I969" i="18" s="1"/>
  <c r="C969" i="18"/>
  <c r="L969" i="18" s="1"/>
  <c r="D969" i="18"/>
  <c r="E969" i="18"/>
  <c r="F969" i="18"/>
  <c r="G969" i="18"/>
  <c r="H969" i="18"/>
  <c r="J969" i="18"/>
  <c r="K969" i="18"/>
  <c r="A970" i="18"/>
  <c r="B970" i="18"/>
  <c r="C970" i="18"/>
  <c r="D970" i="18"/>
  <c r="E970" i="18"/>
  <c r="F970" i="18"/>
  <c r="G970" i="18"/>
  <c r="H970" i="18"/>
  <c r="I970" i="18"/>
  <c r="J970" i="18"/>
  <c r="K970" i="18"/>
  <c r="L970" i="18"/>
  <c r="A971" i="18"/>
  <c r="B971" i="18"/>
  <c r="C971" i="18"/>
  <c r="L971" i="18" s="1"/>
  <c r="D971" i="18"/>
  <c r="E971" i="18"/>
  <c r="F971" i="18"/>
  <c r="G971" i="18"/>
  <c r="H971" i="18"/>
  <c r="I971" i="18"/>
  <c r="J971" i="18"/>
  <c r="K971" i="18"/>
  <c r="A972" i="18"/>
  <c r="B972" i="18"/>
  <c r="C972" i="18"/>
  <c r="D972" i="18"/>
  <c r="E972" i="18"/>
  <c r="F972" i="18"/>
  <c r="G972" i="18"/>
  <c r="H972" i="18"/>
  <c r="I972" i="18"/>
  <c r="J972" i="18"/>
  <c r="K972" i="18"/>
  <c r="L972" i="18"/>
  <c r="A973" i="18"/>
  <c r="B973" i="18"/>
  <c r="I973" i="18" s="1"/>
  <c r="C973" i="18"/>
  <c r="L973" i="18" s="1"/>
  <c r="D973" i="18"/>
  <c r="E973" i="18"/>
  <c r="F973" i="18"/>
  <c r="G973" i="18"/>
  <c r="H973" i="18"/>
  <c r="J973" i="18"/>
  <c r="K973" i="18"/>
  <c r="A974" i="18"/>
  <c r="B974" i="18"/>
  <c r="C974" i="18"/>
  <c r="D974" i="18"/>
  <c r="E974" i="18"/>
  <c r="F974" i="18"/>
  <c r="G974" i="18"/>
  <c r="H974" i="18"/>
  <c r="I974" i="18"/>
  <c r="J974" i="18"/>
  <c r="K974" i="18"/>
  <c r="L974" i="18"/>
  <c r="A975" i="18"/>
  <c r="B975" i="18"/>
  <c r="I975" i="18" s="1"/>
  <c r="C975" i="18"/>
  <c r="L975" i="18" s="1"/>
  <c r="D975" i="18"/>
  <c r="E975" i="18"/>
  <c r="F975" i="18"/>
  <c r="G975" i="18"/>
  <c r="H975" i="18"/>
  <c r="K975" i="18"/>
  <c r="A976" i="18"/>
  <c r="B976" i="18"/>
  <c r="C976" i="18"/>
  <c r="D976" i="18"/>
  <c r="E976" i="18"/>
  <c r="F976" i="18"/>
  <c r="G976" i="18"/>
  <c r="H976" i="18"/>
  <c r="I976" i="18"/>
  <c r="J976" i="18"/>
  <c r="K976" i="18"/>
  <c r="L976" i="18"/>
  <c r="A977" i="18"/>
  <c r="B977" i="18"/>
  <c r="I977" i="18" s="1"/>
  <c r="C977" i="18"/>
  <c r="L977" i="18" s="1"/>
  <c r="D977" i="18"/>
  <c r="E977" i="18"/>
  <c r="F977" i="18"/>
  <c r="G977" i="18"/>
  <c r="H977" i="18"/>
  <c r="J977" i="18"/>
  <c r="A978" i="18"/>
  <c r="B978" i="18"/>
  <c r="C978" i="18"/>
  <c r="D978" i="18"/>
  <c r="E978" i="18"/>
  <c r="F978" i="18"/>
  <c r="G978" i="18"/>
  <c r="H978" i="18"/>
  <c r="I978" i="18"/>
  <c r="J978" i="18"/>
  <c r="K978" i="18"/>
  <c r="L978" i="18"/>
  <c r="A979" i="18"/>
  <c r="B979" i="18"/>
  <c r="I979" i="18" s="1"/>
  <c r="C979" i="18"/>
  <c r="L979" i="18" s="1"/>
  <c r="D979" i="18"/>
  <c r="E979" i="18"/>
  <c r="F979" i="18"/>
  <c r="G979" i="18"/>
  <c r="H979" i="18"/>
  <c r="J979" i="18"/>
  <c r="K979" i="18"/>
  <c r="A980" i="18"/>
  <c r="B980" i="18"/>
  <c r="C980" i="18"/>
  <c r="D980" i="18"/>
  <c r="E980" i="18"/>
  <c r="F980" i="18"/>
  <c r="G980" i="18"/>
  <c r="H980" i="18"/>
  <c r="I980" i="18"/>
  <c r="J980" i="18"/>
  <c r="K980" i="18"/>
  <c r="L980" i="18"/>
  <c r="A981" i="18"/>
  <c r="B981" i="18"/>
  <c r="C981" i="18"/>
  <c r="L981" i="18" s="1"/>
  <c r="D981" i="18"/>
  <c r="E981" i="18"/>
  <c r="F981" i="18"/>
  <c r="G981" i="18"/>
  <c r="H981" i="18"/>
  <c r="I981" i="18"/>
  <c r="J981" i="18"/>
  <c r="K981" i="18"/>
  <c r="A982" i="18"/>
  <c r="B982" i="18"/>
  <c r="C982" i="18"/>
  <c r="D982" i="18"/>
  <c r="E982" i="18"/>
  <c r="F982" i="18"/>
  <c r="G982" i="18"/>
  <c r="H982" i="18"/>
  <c r="I982" i="18"/>
  <c r="J982" i="18"/>
  <c r="K982" i="18"/>
  <c r="L982" i="18"/>
  <c r="A983" i="18"/>
  <c r="B983" i="18"/>
  <c r="C983" i="18"/>
  <c r="L983" i="18" s="1"/>
  <c r="D983" i="18"/>
  <c r="E983" i="18"/>
  <c r="F983" i="18"/>
  <c r="G983" i="18"/>
  <c r="H983" i="18"/>
  <c r="I983" i="18"/>
  <c r="J983" i="18"/>
  <c r="K983" i="18"/>
  <c r="A984" i="18"/>
  <c r="B984" i="18"/>
  <c r="C984" i="18"/>
  <c r="D984" i="18"/>
  <c r="E984" i="18"/>
  <c r="F984" i="18"/>
  <c r="G984" i="18"/>
  <c r="H984" i="18"/>
  <c r="I984" i="18"/>
  <c r="J984" i="18"/>
  <c r="K984" i="18"/>
  <c r="L984" i="18"/>
  <c r="A985" i="18"/>
  <c r="B985" i="18"/>
  <c r="I985" i="18" s="1"/>
  <c r="C985" i="18"/>
  <c r="L985" i="18" s="1"/>
  <c r="D985" i="18"/>
  <c r="E985" i="18"/>
  <c r="F985" i="18"/>
  <c r="G985" i="18"/>
  <c r="H985" i="18"/>
  <c r="J985" i="18"/>
  <c r="K985" i="18"/>
  <c r="A986" i="18"/>
  <c r="B986" i="18"/>
  <c r="C986" i="18"/>
  <c r="D986" i="18"/>
  <c r="E986" i="18"/>
  <c r="F986" i="18"/>
  <c r="G986" i="18"/>
  <c r="H986" i="18"/>
  <c r="I986" i="18"/>
  <c r="J986" i="18"/>
  <c r="K986" i="18"/>
  <c r="L986" i="18"/>
  <c r="A987" i="18"/>
  <c r="B987" i="18"/>
  <c r="C987" i="18"/>
  <c r="L987" i="18" s="1"/>
  <c r="D987" i="18"/>
  <c r="E987" i="18"/>
  <c r="F987" i="18"/>
  <c r="G987" i="18"/>
  <c r="H987" i="18"/>
  <c r="I987" i="18"/>
  <c r="J987" i="18"/>
  <c r="K987" i="18"/>
  <c r="A988" i="18"/>
  <c r="B988" i="18"/>
  <c r="C988" i="18"/>
  <c r="D988" i="18"/>
  <c r="E988" i="18"/>
  <c r="F988" i="18"/>
  <c r="G988" i="18"/>
  <c r="H988" i="18"/>
  <c r="I988" i="18"/>
  <c r="J988" i="18"/>
  <c r="K988" i="18"/>
  <c r="L988" i="18"/>
  <c r="A989" i="18"/>
  <c r="B989" i="18"/>
  <c r="I989" i="18" s="1"/>
  <c r="C989" i="18"/>
  <c r="L989" i="18" s="1"/>
  <c r="D989" i="18"/>
  <c r="E989" i="18"/>
  <c r="F989" i="18"/>
  <c r="G989" i="18"/>
  <c r="H989" i="18"/>
  <c r="J989" i="18"/>
  <c r="K989" i="18"/>
  <c r="A990" i="18"/>
  <c r="B990" i="18"/>
  <c r="C990" i="18"/>
  <c r="D990" i="18"/>
  <c r="E990" i="18"/>
  <c r="F990" i="18"/>
  <c r="G990" i="18"/>
  <c r="H990" i="18"/>
  <c r="I990" i="18"/>
  <c r="J990" i="18"/>
  <c r="K990" i="18"/>
  <c r="L990" i="18"/>
  <c r="A991" i="18"/>
  <c r="B991" i="18"/>
  <c r="I991" i="18" s="1"/>
  <c r="C991" i="18"/>
  <c r="L991" i="18" s="1"/>
  <c r="D991" i="18"/>
  <c r="E991" i="18"/>
  <c r="F991" i="18"/>
  <c r="G991" i="18"/>
  <c r="H991" i="18"/>
  <c r="K991" i="18"/>
  <c r="A992" i="18"/>
  <c r="B992" i="18"/>
  <c r="C992" i="18"/>
  <c r="K992" i="18" s="1"/>
  <c r="D992" i="18"/>
  <c r="E992" i="18"/>
  <c r="F992" i="18"/>
  <c r="G992" i="18"/>
  <c r="H992" i="18"/>
  <c r="I992" i="18"/>
  <c r="J992" i="18"/>
  <c r="L992" i="18"/>
  <c r="A993" i="18"/>
  <c r="B993" i="18"/>
  <c r="I993" i="18" s="1"/>
  <c r="C993" i="18"/>
  <c r="L993" i="18" s="1"/>
  <c r="D993" i="18"/>
  <c r="E993" i="18"/>
  <c r="F993" i="18"/>
  <c r="G993" i="18"/>
  <c r="H993" i="18"/>
  <c r="J993" i="18"/>
  <c r="K993" i="18"/>
  <c r="A994" i="18"/>
  <c r="B994" i="18"/>
  <c r="C994" i="18"/>
  <c r="D994" i="18"/>
  <c r="E994" i="18"/>
  <c r="F994" i="18"/>
  <c r="G994" i="18"/>
  <c r="H994" i="18"/>
  <c r="I994" i="18"/>
  <c r="J994" i="18"/>
  <c r="K994" i="18"/>
  <c r="L994" i="18"/>
  <c r="A995" i="18"/>
  <c r="B995" i="18"/>
  <c r="C995" i="18"/>
  <c r="L995" i="18" s="1"/>
  <c r="D995" i="18"/>
  <c r="E995" i="18"/>
  <c r="F995" i="18"/>
  <c r="G995" i="18"/>
  <c r="H995" i="18"/>
  <c r="I995" i="18"/>
  <c r="J995" i="18"/>
  <c r="K995" i="18"/>
  <c r="A996" i="18"/>
  <c r="B996" i="18"/>
  <c r="C996" i="18"/>
  <c r="D996" i="18"/>
  <c r="E996" i="18"/>
  <c r="F996" i="18"/>
  <c r="G996" i="18"/>
  <c r="H996" i="18"/>
  <c r="I996" i="18"/>
  <c r="J996" i="18"/>
  <c r="K996" i="18"/>
  <c r="L996" i="18"/>
  <c r="A997" i="18"/>
  <c r="B997" i="18"/>
  <c r="C997" i="18"/>
  <c r="L997" i="18" s="1"/>
  <c r="D997" i="18"/>
  <c r="E997" i="18"/>
  <c r="F997" i="18"/>
  <c r="G997" i="18"/>
  <c r="H997" i="18"/>
  <c r="I997" i="18"/>
  <c r="J997" i="18"/>
  <c r="K997" i="18"/>
  <c r="A998" i="18"/>
  <c r="B998" i="18"/>
  <c r="C998" i="18"/>
  <c r="D998" i="18"/>
  <c r="E998" i="18"/>
  <c r="F998" i="18"/>
  <c r="G998" i="18"/>
  <c r="H998" i="18"/>
  <c r="I998" i="18"/>
  <c r="J998" i="18"/>
  <c r="K998" i="18"/>
  <c r="L998" i="18"/>
  <c r="A999" i="18"/>
  <c r="B999" i="18"/>
  <c r="I999" i="18" s="1"/>
  <c r="C999" i="18"/>
  <c r="L999" i="18" s="1"/>
  <c r="D999" i="18"/>
  <c r="E999" i="18"/>
  <c r="F999" i="18"/>
  <c r="G999" i="18"/>
  <c r="H999" i="18"/>
  <c r="J999" i="18"/>
  <c r="K999" i="18"/>
  <c r="A1000" i="18"/>
  <c r="B1000" i="18"/>
  <c r="C1000" i="18"/>
  <c r="D1000" i="18"/>
  <c r="E1000" i="18"/>
  <c r="F1000" i="18"/>
  <c r="G1000" i="18"/>
  <c r="H1000" i="18"/>
  <c r="I1000" i="18"/>
  <c r="J1000" i="18"/>
  <c r="K1000" i="18"/>
  <c r="L1000" i="18"/>
  <c r="A1001" i="18"/>
  <c r="B1001" i="18"/>
  <c r="C1001" i="18"/>
  <c r="L1001" i="18" s="1"/>
  <c r="D1001" i="18"/>
  <c r="E1001" i="18"/>
  <c r="F1001" i="18"/>
  <c r="G1001" i="18"/>
  <c r="H1001" i="18"/>
  <c r="I1001" i="18"/>
  <c r="J1001" i="18"/>
  <c r="K1001" i="18"/>
  <c r="A1002" i="18"/>
  <c r="B1002" i="18"/>
  <c r="C1002" i="18"/>
  <c r="D1002" i="18"/>
  <c r="E1002" i="18"/>
  <c r="F1002" i="18"/>
  <c r="G1002" i="18"/>
  <c r="H1002" i="18"/>
  <c r="I1002" i="18"/>
  <c r="J1002" i="18"/>
  <c r="K1002" i="18"/>
  <c r="L1002" i="18"/>
  <c r="A1003" i="18"/>
  <c r="B1003" i="18"/>
  <c r="I1003" i="18" s="1"/>
  <c r="C1003" i="18"/>
  <c r="L1003" i="18" s="1"/>
  <c r="D1003" i="18"/>
  <c r="E1003" i="18"/>
  <c r="F1003" i="18"/>
  <c r="G1003" i="18"/>
  <c r="H1003" i="18"/>
  <c r="J1003" i="18"/>
  <c r="K1003" i="18"/>
  <c r="A1004" i="18"/>
  <c r="B1004" i="18"/>
  <c r="C1004" i="18"/>
  <c r="D1004" i="18"/>
  <c r="E1004" i="18"/>
  <c r="F1004" i="18"/>
  <c r="G1004" i="18"/>
  <c r="H1004" i="18"/>
  <c r="I1004" i="18"/>
  <c r="J1004" i="18"/>
  <c r="K1004" i="18"/>
  <c r="L1004" i="18"/>
  <c r="A1005" i="18"/>
  <c r="B1005" i="18"/>
  <c r="I1005" i="18" s="1"/>
  <c r="C1005" i="18"/>
  <c r="L1005" i="18" s="1"/>
  <c r="D1005" i="18"/>
  <c r="E1005" i="18"/>
  <c r="F1005" i="18"/>
  <c r="G1005" i="18"/>
  <c r="H1005" i="18"/>
  <c r="K1005" i="18"/>
  <c r="A1006" i="18"/>
  <c r="B1006" i="18"/>
  <c r="C1006" i="18"/>
  <c r="D1006" i="18"/>
  <c r="E1006" i="18"/>
  <c r="F1006" i="18"/>
  <c r="G1006" i="18"/>
  <c r="H1006" i="18"/>
  <c r="I1006" i="18"/>
  <c r="J1006" i="18"/>
  <c r="K1006" i="18"/>
  <c r="L1006" i="18"/>
  <c r="A1007" i="18"/>
  <c r="B1007" i="18"/>
  <c r="I1007" i="18" s="1"/>
  <c r="C1007" i="18"/>
  <c r="L1007" i="18" s="1"/>
  <c r="D1007" i="18"/>
  <c r="E1007" i="18"/>
  <c r="F1007" i="18"/>
  <c r="G1007" i="18"/>
  <c r="H1007" i="18"/>
  <c r="J1007" i="18"/>
  <c r="K1007" i="18"/>
  <c r="A1008" i="18"/>
  <c r="B1008" i="18"/>
  <c r="C1008" i="18"/>
  <c r="D1008" i="18"/>
  <c r="E1008" i="18"/>
  <c r="F1008" i="18"/>
  <c r="G1008" i="18"/>
  <c r="H1008" i="18"/>
  <c r="I1008" i="18"/>
  <c r="J1008" i="18"/>
  <c r="K1008" i="18"/>
  <c r="L1008" i="18"/>
  <c r="A1009" i="18"/>
  <c r="B1009" i="18"/>
  <c r="I1009" i="18" s="1"/>
  <c r="C1009" i="18"/>
  <c r="L1009" i="18" s="1"/>
  <c r="D1009" i="18"/>
  <c r="E1009" i="18"/>
  <c r="F1009" i="18"/>
  <c r="G1009" i="18"/>
  <c r="H1009" i="18"/>
  <c r="J1009" i="18"/>
  <c r="K1009" i="18"/>
  <c r="A1010" i="18"/>
  <c r="B1010" i="18"/>
  <c r="C1010" i="18"/>
  <c r="D1010" i="18"/>
  <c r="E1010" i="18"/>
  <c r="F1010" i="18"/>
  <c r="G1010" i="18"/>
  <c r="H1010" i="18"/>
  <c r="I1010" i="18"/>
  <c r="J1010" i="18"/>
  <c r="K1010" i="18"/>
  <c r="L1010" i="18"/>
  <c r="A1011" i="18"/>
  <c r="B1011" i="18"/>
  <c r="C1011" i="18"/>
  <c r="L1011" i="18" s="1"/>
  <c r="D1011" i="18"/>
  <c r="E1011" i="18"/>
  <c r="F1011" i="18"/>
  <c r="G1011" i="18"/>
  <c r="H1011" i="18"/>
  <c r="I1011" i="18"/>
  <c r="J1011" i="18"/>
  <c r="K1011" i="18"/>
  <c r="A1012" i="18"/>
  <c r="B1012" i="18"/>
  <c r="C1012" i="18"/>
  <c r="D1012" i="18"/>
  <c r="E1012" i="18"/>
  <c r="F1012" i="18"/>
  <c r="G1012" i="18"/>
  <c r="H1012" i="18"/>
  <c r="I1012" i="18"/>
  <c r="J1012" i="18"/>
  <c r="K1012" i="18"/>
  <c r="L1012" i="18"/>
  <c r="A1013" i="18"/>
  <c r="B1013" i="18"/>
  <c r="C1013" i="18"/>
  <c r="L1013" i="18" s="1"/>
  <c r="D1013" i="18"/>
  <c r="E1013" i="18"/>
  <c r="F1013" i="18"/>
  <c r="G1013" i="18"/>
  <c r="H1013" i="18"/>
  <c r="I1013" i="18"/>
  <c r="J1013" i="18"/>
  <c r="K1013" i="18"/>
  <c r="A1014" i="18"/>
  <c r="B1014" i="18"/>
  <c r="C1014" i="18"/>
  <c r="D1014" i="18"/>
  <c r="E1014" i="18"/>
  <c r="F1014" i="18"/>
  <c r="G1014" i="18"/>
  <c r="H1014" i="18"/>
  <c r="I1014" i="18"/>
  <c r="J1014" i="18"/>
  <c r="K1014" i="18"/>
  <c r="L1014" i="18"/>
  <c r="A1015" i="18"/>
  <c r="B1015" i="18"/>
  <c r="I1015" i="18" s="1"/>
  <c r="C1015" i="18"/>
  <c r="L1015" i="18" s="1"/>
  <c r="D1015" i="18"/>
  <c r="E1015" i="18"/>
  <c r="F1015" i="18"/>
  <c r="G1015" i="18"/>
  <c r="H1015" i="18"/>
  <c r="J1015" i="18"/>
  <c r="K1015" i="18"/>
  <c r="A1016" i="18"/>
  <c r="B1016" i="18"/>
  <c r="C1016" i="18"/>
  <c r="K1016" i="18" s="1"/>
  <c r="D1016" i="18"/>
  <c r="E1016" i="18"/>
  <c r="F1016" i="18"/>
  <c r="G1016" i="18"/>
  <c r="H1016" i="18"/>
  <c r="I1016" i="18"/>
  <c r="J1016" i="18"/>
  <c r="L1016" i="18"/>
  <c r="A1017" i="18"/>
  <c r="B1017" i="18"/>
  <c r="I1017" i="18" s="1"/>
  <c r="C1017" i="18"/>
  <c r="L1017" i="18" s="1"/>
  <c r="D1017" i="18"/>
  <c r="E1017" i="18"/>
  <c r="F1017" i="18"/>
  <c r="G1017" i="18"/>
  <c r="H1017" i="18"/>
  <c r="J1017" i="18"/>
  <c r="K1017" i="18"/>
  <c r="A1018" i="18"/>
  <c r="B1018" i="18"/>
  <c r="C1018" i="18"/>
  <c r="D1018" i="18"/>
  <c r="E1018" i="18"/>
  <c r="F1018" i="18"/>
  <c r="G1018" i="18"/>
  <c r="H1018" i="18"/>
  <c r="I1018" i="18"/>
  <c r="J1018" i="18"/>
  <c r="K1018" i="18"/>
  <c r="L1018" i="18"/>
  <c r="A1019" i="18"/>
  <c r="B1019" i="18"/>
  <c r="I1019" i="18" s="1"/>
  <c r="C1019" i="18"/>
  <c r="L1019" i="18" s="1"/>
  <c r="D1019" i="18"/>
  <c r="E1019" i="18"/>
  <c r="F1019" i="18"/>
  <c r="G1019" i="18"/>
  <c r="H1019" i="18"/>
  <c r="J1019" i="18"/>
  <c r="K1019" i="18"/>
  <c r="A1020" i="18"/>
  <c r="B1020" i="18"/>
  <c r="C1020" i="18"/>
  <c r="D1020" i="18"/>
  <c r="E1020" i="18"/>
  <c r="F1020" i="18"/>
  <c r="G1020" i="18"/>
  <c r="H1020" i="18"/>
  <c r="I1020" i="18"/>
  <c r="J1020" i="18"/>
  <c r="K1020" i="18"/>
  <c r="L1020" i="18"/>
  <c r="A1021" i="18"/>
  <c r="B1021" i="18"/>
  <c r="I1021" i="18" s="1"/>
  <c r="C1021" i="18"/>
  <c r="L1021" i="18" s="1"/>
  <c r="D1021" i="18"/>
  <c r="E1021" i="18"/>
  <c r="F1021" i="18"/>
  <c r="G1021" i="18"/>
  <c r="H1021" i="18"/>
  <c r="J1021" i="18"/>
  <c r="K1021" i="18"/>
  <c r="A1022" i="18"/>
  <c r="B1022" i="18"/>
  <c r="C1022" i="18"/>
  <c r="D1022" i="18"/>
  <c r="E1022" i="18"/>
  <c r="F1022" i="18"/>
  <c r="G1022" i="18"/>
  <c r="H1022" i="18"/>
  <c r="I1022" i="18"/>
  <c r="J1022" i="18"/>
  <c r="K1022" i="18"/>
  <c r="L1022" i="18"/>
  <c r="A1023" i="18"/>
  <c r="B1023" i="18"/>
  <c r="I1023" i="18" s="1"/>
  <c r="C1023" i="18"/>
  <c r="L1023" i="18" s="1"/>
  <c r="D1023" i="18"/>
  <c r="E1023" i="18"/>
  <c r="F1023" i="18"/>
  <c r="G1023" i="18"/>
  <c r="H1023" i="18"/>
  <c r="J1023" i="18"/>
  <c r="K1023" i="18"/>
  <c r="A1024" i="18"/>
  <c r="B1024" i="18"/>
  <c r="C1024" i="18"/>
  <c r="D1024" i="18"/>
  <c r="E1024" i="18"/>
  <c r="F1024" i="18"/>
  <c r="G1024" i="18"/>
  <c r="H1024" i="18"/>
  <c r="I1024" i="18"/>
  <c r="J1024" i="18"/>
  <c r="K1024" i="18"/>
  <c r="L1024" i="18"/>
  <c r="A1025" i="18"/>
  <c r="B1025" i="18"/>
  <c r="C1025" i="18"/>
  <c r="L1025" i="18" s="1"/>
  <c r="D1025" i="18"/>
  <c r="E1025" i="18"/>
  <c r="F1025" i="18"/>
  <c r="G1025" i="18"/>
  <c r="H1025" i="18"/>
  <c r="I1025" i="18"/>
  <c r="J1025" i="18"/>
  <c r="K1025" i="18"/>
  <c r="A1026" i="18"/>
  <c r="B1026" i="18"/>
  <c r="C1026" i="18"/>
  <c r="D1026" i="18"/>
  <c r="E1026" i="18"/>
  <c r="F1026" i="18"/>
  <c r="G1026" i="18"/>
  <c r="H1026" i="18"/>
  <c r="I1026" i="18"/>
  <c r="J1026" i="18"/>
  <c r="K1026" i="18"/>
  <c r="L1026" i="18"/>
  <c r="A1027" i="18"/>
  <c r="B1027" i="18"/>
  <c r="C1027" i="18"/>
  <c r="L1027" i="18" s="1"/>
  <c r="D1027" i="18"/>
  <c r="E1027" i="18"/>
  <c r="F1027" i="18"/>
  <c r="G1027" i="18"/>
  <c r="H1027" i="18"/>
  <c r="I1027" i="18"/>
  <c r="J1027" i="18"/>
  <c r="K1027" i="18"/>
  <c r="A1028" i="18"/>
  <c r="B1028" i="18"/>
  <c r="C1028" i="18"/>
  <c r="D1028" i="18"/>
  <c r="E1028" i="18"/>
  <c r="F1028" i="18"/>
  <c r="G1028" i="18"/>
  <c r="H1028" i="18"/>
  <c r="I1028" i="18"/>
  <c r="J1028" i="18"/>
  <c r="K1028" i="18"/>
  <c r="L1028" i="18"/>
  <c r="A1029" i="18"/>
  <c r="B1029" i="18"/>
  <c r="I1029" i="18" s="1"/>
  <c r="C1029" i="18"/>
  <c r="L1029" i="18" s="1"/>
  <c r="D1029" i="18"/>
  <c r="E1029" i="18"/>
  <c r="F1029" i="18"/>
  <c r="G1029" i="18"/>
  <c r="H1029" i="18"/>
  <c r="J1029" i="18"/>
  <c r="K1029" i="18"/>
  <c r="A1030" i="18"/>
  <c r="B1030" i="18"/>
  <c r="C1030" i="18"/>
  <c r="D1030" i="18"/>
  <c r="E1030" i="18"/>
  <c r="F1030" i="18"/>
  <c r="G1030" i="18"/>
  <c r="H1030" i="18"/>
  <c r="I1030" i="18"/>
  <c r="J1030" i="18"/>
  <c r="K1030" i="18"/>
  <c r="L1030" i="18"/>
  <c r="A1031" i="18"/>
  <c r="B1031" i="18"/>
  <c r="C1031" i="18"/>
  <c r="L1031" i="18" s="1"/>
  <c r="D1031" i="18"/>
  <c r="E1031" i="18"/>
  <c r="F1031" i="18"/>
  <c r="G1031" i="18"/>
  <c r="H1031" i="18"/>
  <c r="I1031" i="18"/>
  <c r="J1031" i="18"/>
  <c r="K1031" i="18"/>
  <c r="A1032" i="18"/>
  <c r="B1032" i="18"/>
  <c r="C1032" i="18"/>
  <c r="D1032" i="18"/>
  <c r="E1032" i="18"/>
  <c r="F1032" i="18"/>
  <c r="G1032" i="18"/>
  <c r="H1032" i="18"/>
  <c r="I1032" i="18"/>
  <c r="J1032" i="18"/>
  <c r="K1032" i="18"/>
  <c r="L1032" i="18"/>
  <c r="A1033" i="18"/>
  <c r="B1033" i="18"/>
  <c r="I1033" i="18" s="1"/>
  <c r="C1033" i="18"/>
  <c r="L1033" i="18" s="1"/>
  <c r="D1033" i="18"/>
  <c r="E1033" i="18"/>
  <c r="F1033" i="18"/>
  <c r="G1033" i="18"/>
  <c r="H1033" i="18"/>
  <c r="J1033" i="18"/>
  <c r="K1033" i="18"/>
  <c r="A1034" i="18"/>
  <c r="B1034" i="18"/>
  <c r="C1034" i="18"/>
  <c r="D1034" i="18"/>
  <c r="E1034" i="18"/>
  <c r="F1034" i="18"/>
  <c r="G1034" i="18"/>
  <c r="H1034" i="18"/>
  <c r="I1034" i="18"/>
  <c r="J1034" i="18"/>
  <c r="K1034" i="18"/>
  <c r="L1034" i="18"/>
  <c r="A1035" i="18"/>
  <c r="B1035" i="18"/>
  <c r="I1035" i="18" s="1"/>
  <c r="C1035" i="18"/>
  <c r="L1035" i="18" s="1"/>
  <c r="D1035" i="18"/>
  <c r="E1035" i="18"/>
  <c r="F1035" i="18"/>
  <c r="G1035" i="18"/>
  <c r="H1035" i="18"/>
  <c r="J1035" i="18"/>
  <c r="K1035" i="18"/>
  <c r="A1036" i="18"/>
  <c r="B1036" i="18"/>
  <c r="C1036" i="18"/>
  <c r="D1036" i="18"/>
  <c r="E1036" i="18"/>
  <c r="F1036" i="18"/>
  <c r="G1036" i="18"/>
  <c r="H1036" i="18"/>
  <c r="I1036" i="18"/>
  <c r="J1036" i="18"/>
  <c r="K1036" i="18"/>
  <c r="L1036" i="18"/>
  <c r="A1037" i="18"/>
  <c r="B1037" i="18"/>
  <c r="I1037" i="18" s="1"/>
  <c r="C1037" i="18"/>
  <c r="L1037" i="18" s="1"/>
  <c r="D1037" i="18"/>
  <c r="E1037" i="18"/>
  <c r="F1037" i="18"/>
  <c r="G1037" i="18"/>
  <c r="H1037" i="18"/>
  <c r="J1037" i="18"/>
  <c r="K1037" i="18"/>
  <c r="A1038" i="18"/>
  <c r="B1038" i="18"/>
  <c r="C1038" i="18"/>
  <c r="D1038" i="18"/>
  <c r="E1038" i="18"/>
  <c r="F1038" i="18"/>
  <c r="G1038" i="18"/>
  <c r="H1038" i="18"/>
  <c r="I1038" i="18"/>
  <c r="J1038" i="18"/>
  <c r="K1038" i="18"/>
  <c r="L1038" i="18"/>
  <c r="A1039" i="18"/>
  <c r="B1039" i="18"/>
  <c r="I1039" i="18" s="1"/>
  <c r="C1039" i="18"/>
  <c r="L1039" i="18" s="1"/>
  <c r="D1039" i="18"/>
  <c r="E1039" i="18"/>
  <c r="F1039" i="18"/>
  <c r="G1039" i="18"/>
  <c r="H1039" i="18"/>
  <c r="J1039" i="18"/>
  <c r="K1039" i="18"/>
  <c r="A1040" i="18"/>
  <c r="B1040" i="18"/>
  <c r="C1040" i="18"/>
  <c r="D1040" i="18"/>
  <c r="E1040" i="18"/>
  <c r="F1040" i="18"/>
  <c r="G1040" i="18"/>
  <c r="H1040" i="18"/>
  <c r="I1040" i="18"/>
  <c r="J1040" i="18"/>
  <c r="K1040" i="18"/>
  <c r="L1040" i="18"/>
  <c r="A1041" i="18"/>
  <c r="B1041" i="18"/>
  <c r="C1041" i="18"/>
  <c r="L1041" i="18" s="1"/>
  <c r="D1041" i="18"/>
  <c r="E1041" i="18"/>
  <c r="F1041" i="18"/>
  <c r="G1041" i="18"/>
  <c r="H1041" i="18"/>
  <c r="I1041" i="18"/>
  <c r="J1041" i="18"/>
  <c r="K1041" i="18"/>
  <c r="A1042" i="18"/>
  <c r="B1042" i="18"/>
  <c r="C1042" i="18"/>
  <c r="K1042" i="18" s="1"/>
  <c r="D1042" i="18"/>
  <c r="E1042" i="18"/>
  <c r="F1042" i="18"/>
  <c r="G1042" i="18"/>
  <c r="H1042" i="18"/>
  <c r="I1042" i="18"/>
  <c r="J1042" i="18"/>
  <c r="L1042" i="18"/>
  <c r="A1043" i="18"/>
  <c r="B1043" i="18"/>
  <c r="I1043" i="18" s="1"/>
  <c r="C1043" i="18"/>
  <c r="L1043" i="18" s="1"/>
  <c r="D1043" i="18"/>
  <c r="E1043" i="18"/>
  <c r="F1043" i="18"/>
  <c r="G1043" i="18"/>
  <c r="H1043" i="18"/>
  <c r="J1043" i="18"/>
  <c r="K1043" i="18"/>
  <c r="A1044" i="18"/>
  <c r="B1044" i="18"/>
  <c r="C1044" i="18"/>
  <c r="D1044" i="18"/>
  <c r="E1044" i="18"/>
  <c r="F1044" i="18"/>
  <c r="G1044" i="18"/>
  <c r="H1044" i="18"/>
  <c r="I1044" i="18"/>
  <c r="J1044" i="18"/>
  <c r="K1044" i="18"/>
  <c r="L1044" i="18"/>
  <c r="A1045" i="18"/>
  <c r="B1045" i="18"/>
  <c r="C1045" i="18"/>
  <c r="L1045" i="18" s="1"/>
  <c r="D1045" i="18"/>
  <c r="E1045" i="18"/>
  <c r="F1045" i="18"/>
  <c r="G1045" i="18"/>
  <c r="H1045" i="18"/>
  <c r="I1045" i="18"/>
  <c r="J1045" i="18"/>
  <c r="K1045" i="18"/>
  <c r="A1046" i="18"/>
  <c r="B1046" i="18"/>
  <c r="C1046" i="18"/>
  <c r="D1046" i="18"/>
  <c r="E1046" i="18"/>
  <c r="F1046" i="18"/>
  <c r="G1046" i="18"/>
  <c r="H1046" i="18"/>
  <c r="I1046" i="18"/>
  <c r="J1046" i="18"/>
  <c r="K1046" i="18"/>
  <c r="L1046" i="18"/>
  <c r="A1047" i="18"/>
  <c r="B1047" i="18"/>
  <c r="I1047" i="18" s="1"/>
  <c r="C1047" i="18"/>
  <c r="L1047" i="18" s="1"/>
  <c r="D1047" i="18"/>
  <c r="E1047" i="18"/>
  <c r="F1047" i="18"/>
  <c r="G1047" i="18"/>
  <c r="H1047" i="18"/>
  <c r="J1047" i="18"/>
  <c r="K1047" i="18"/>
  <c r="A1048" i="18"/>
  <c r="B1048" i="18"/>
  <c r="C1048" i="18"/>
  <c r="D1048" i="18"/>
  <c r="E1048" i="18"/>
  <c r="F1048" i="18"/>
  <c r="G1048" i="18"/>
  <c r="H1048" i="18"/>
  <c r="I1048" i="18"/>
  <c r="J1048" i="18"/>
  <c r="K1048" i="18"/>
  <c r="L1048" i="18"/>
  <c r="A1049" i="18"/>
  <c r="B1049" i="18"/>
  <c r="I1049" i="18" s="1"/>
  <c r="C1049" i="18"/>
  <c r="L1049" i="18" s="1"/>
  <c r="D1049" i="18"/>
  <c r="E1049" i="18"/>
  <c r="F1049" i="18"/>
  <c r="G1049" i="18"/>
  <c r="H1049" i="18"/>
  <c r="J1049" i="18"/>
  <c r="A1050" i="18"/>
  <c r="B1050" i="18"/>
  <c r="C1050" i="18"/>
  <c r="D1050" i="18"/>
  <c r="E1050" i="18"/>
  <c r="F1050" i="18"/>
  <c r="G1050" i="18"/>
  <c r="H1050" i="18"/>
  <c r="I1050" i="18"/>
  <c r="J1050" i="18"/>
  <c r="K1050" i="18"/>
  <c r="L1050" i="18"/>
  <c r="A1051" i="18"/>
  <c r="B1051" i="18"/>
  <c r="I1051" i="18" s="1"/>
  <c r="C1051" i="18"/>
  <c r="L1051" i="18" s="1"/>
  <c r="D1051" i="18"/>
  <c r="E1051" i="18"/>
  <c r="F1051" i="18"/>
  <c r="G1051" i="18"/>
  <c r="H1051" i="18"/>
  <c r="J1051" i="18"/>
  <c r="A1052" i="18"/>
  <c r="B1052" i="18"/>
  <c r="C1052" i="18"/>
  <c r="D1052" i="18"/>
  <c r="E1052" i="18"/>
  <c r="F1052" i="18"/>
  <c r="G1052" i="18"/>
  <c r="H1052" i="18"/>
  <c r="I1052" i="18"/>
  <c r="J1052" i="18"/>
  <c r="K1052" i="18"/>
  <c r="L1052" i="18"/>
  <c r="A1053" i="18"/>
  <c r="B1053" i="18"/>
  <c r="I1053" i="18" s="1"/>
  <c r="C1053" i="18"/>
  <c r="L1053" i="18" s="1"/>
  <c r="D1053" i="18"/>
  <c r="E1053" i="18"/>
  <c r="F1053" i="18"/>
  <c r="G1053" i="18"/>
  <c r="H1053" i="18"/>
  <c r="J1053" i="18"/>
  <c r="K1053" i="18"/>
  <c r="A1054" i="18"/>
  <c r="B1054" i="18"/>
  <c r="C1054" i="18"/>
  <c r="K1054" i="18" s="1"/>
  <c r="D1054" i="18"/>
  <c r="E1054" i="18"/>
  <c r="F1054" i="18"/>
  <c r="G1054" i="18"/>
  <c r="H1054" i="18"/>
  <c r="I1054" i="18"/>
  <c r="J1054" i="18"/>
  <c r="L1054" i="18"/>
  <c r="A1055" i="18"/>
  <c r="B1055" i="18"/>
  <c r="C1055" i="18"/>
  <c r="L1055" i="18" s="1"/>
  <c r="D1055" i="18"/>
  <c r="E1055" i="18"/>
  <c r="F1055" i="18"/>
  <c r="G1055" i="18"/>
  <c r="H1055" i="18"/>
  <c r="I1055" i="18"/>
  <c r="J1055" i="18"/>
  <c r="K1055" i="18"/>
  <c r="A1056" i="18"/>
  <c r="B1056" i="18"/>
  <c r="C1056" i="18"/>
  <c r="K1056" i="18" s="1"/>
  <c r="D1056" i="18"/>
  <c r="E1056" i="18"/>
  <c r="F1056" i="18"/>
  <c r="G1056" i="18"/>
  <c r="H1056" i="18"/>
  <c r="I1056" i="18"/>
  <c r="J1056" i="18"/>
  <c r="L1056" i="18"/>
  <c r="A1057" i="18"/>
  <c r="B1057" i="18"/>
  <c r="I1057" i="18" s="1"/>
  <c r="C1057" i="18"/>
  <c r="L1057" i="18" s="1"/>
  <c r="D1057" i="18"/>
  <c r="E1057" i="18"/>
  <c r="F1057" i="18"/>
  <c r="G1057" i="18"/>
  <c r="H1057" i="18"/>
  <c r="J1057" i="18"/>
  <c r="K1057" i="18"/>
  <c r="A1058" i="18"/>
  <c r="B1058" i="18"/>
  <c r="C1058" i="18"/>
  <c r="K1058" i="18" s="1"/>
  <c r="D1058" i="18"/>
  <c r="E1058" i="18"/>
  <c r="F1058" i="18"/>
  <c r="G1058" i="18"/>
  <c r="H1058" i="18"/>
  <c r="I1058" i="18"/>
  <c r="J1058" i="18"/>
  <c r="L1058" i="18"/>
  <c r="A1059" i="18"/>
  <c r="B1059" i="18"/>
  <c r="I1059" i="18" s="1"/>
  <c r="C1059" i="18"/>
  <c r="L1059" i="18" s="1"/>
  <c r="D1059" i="18"/>
  <c r="E1059" i="18"/>
  <c r="F1059" i="18"/>
  <c r="G1059" i="18"/>
  <c r="H1059" i="18"/>
  <c r="J1059" i="18"/>
  <c r="A1060" i="18"/>
  <c r="B1060" i="18"/>
  <c r="C1060" i="18"/>
  <c r="D1060" i="18"/>
  <c r="E1060" i="18"/>
  <c r="F1060" i="18"/>
  <c r="G1060" i="18"/>
  <c r="H1060" i="18"/>
  <c r="I1060" i="18"/>
  <c r="J1060" i="18"/>
  <c r="K1060" i="18"/>
  <c r="L1060" i="18"/>
  <c r="A1061" i="18"/>
  <c r="B1061" i="18"/>
  <c r="I1061" i="18" s="1"/>
  <c r="C1061" i="18"/>
  <c r="L1061" i="18" s="1"/>
  <c r="D1061" i="18"/>
  <c r="E1061" i="18"/>
  <c r="F1061" i="18"/>
  <c r="G1061" i="18"/>
  <c r="H1061" i="18"/>
  <c r="J1061" i="18"/>
  <c r="A1062" i="18"/>
  <c r="B1062" i="18"/>
  <c r="C1062" i="18"/>
  <c r="D1062" i="18"/>
  <c r="E1062" i="18"/>
  <c r="F1062" i="18"/>
  <c r="G1062" i="18"/>
  <c r="H1062" i="18"/>
  <c r="I1062" i="18"/>
  <c r="J1062" i="18"/>
  <c r="K1062" i="18"/>
  <c r="L1062" i="18"/>
  <c r="A1063" i="18"/>
  <c r="B1063" i="18"/>
  <c r="I1063" i="18" s="1"/>
  <c r="C1063" i="18"/>
  <c r="L1063" i="18" s="1"/>
  <c r="D1063" i="18"/>
  <c r="E1063" i="18"/>
  <c r="F1063" i="18"/>
  <c r="G1063" i="18"/>
  <c r="H1063" i="18"/>
  <c r="K1063" i="18"/>
  <c r="A1064" i="18"/>
  <c r="B1064" i="18"/>
  <c r="C1064" i="18"/>
  <c r="D1064" i="18"/>
  <c r="E1064" i="18"/>
  <c r="F1064" i="18"/>
  <c r="G1064" i="18"/>
  <c r="H1064" i="18"/>
  <c r="I1064" i="18"/>
  <c r="J1064" i="18"/>
  <c r="K1064" i="18"/>
  <c r="L1064" i="18"/>
  <c r="A1065" i="18"/>
  <c r="B1065" i="18"/>
  <c r="C1065" i="18"/>
  <c r="L1065" i="18" s="1"/>
  <c r="D1065" i="18"/>
  <c r="E1065" i="18"/>
  <c r="F1065" i="18"/>
  <c r="G1065" i="18"/>
  <c r="H1065" i="18"/>
  <c r="I1065" i="18"/>
  <c r="J1065" i="18"/>
  <c r="K1065" i="18"/>
  <c r="A1066" i="18"/>
  <c r="B1066" i="18"/>
  <c r="C1066" i="18"/>
  <c r="D1066" i="18"/>
  <c r="E1066" i="18"/>
  <c r="F1066" i="18"/>
  <c r="G1066" i="18"/>
  <c r="H1066" i="18"/>
  <c r="I1066" i="18"/>
  <c r="J1066" i="18"/>
  <c r="K1066" i="18"/>
  <c r="L1066" i="18"/>
  <c r="A1067" i="18"/>
  <c r="B1067" i="18"/>
  <c r="C1067" i="18"/>
  <c r="L1067" i="18" s="1"/>
  <c r="D1067" i="18"/>
  <c r="E1067" i="18"/>
  <c r="F1067" i="18"/>
  <c r="G1067" i="18"/>
  <c r="H1067" i="18"/>
  <c r="I1067" i="18"/>
  <c r="J1067" i="18"/>
  <c r="K1067" i="18"/>
  <c r="A1068" i="18"/>
  <c r="B1068" i="18"/>
  <c r="C1068" i="18"/>
  <c r="D1068" i="18"/>
  <c r="E1068" i="18"/>
  <c r="F1068" i="18"/>
  <c r="G1068" i="18"/>
  <c r="H1068" i="18"/>
  <c r="I1068" i="18"/>
  <c r="J1068" i="18"/>
  <c r="K1068" i="18"/>
  <c r="L1068" i="18"/>
  <c r="A1069" i="18"/>
  <c r="B1069" i="18"/>
  <c r="I1069" i="18" s="1"/>
  <c r="C1069" i="18"/>
  <c r="L1069" i="18" s="1"/>
  <c r="D1069" i="18"/>
  <c r="E1069" i="18"/>
  <c r="F1069" i="18"/>
  <c r="G1069" i="18"/>
  <c r="H1069" i="18"/>
  <c r="J1069" i="18"/>
  <c r="K1069" i="18"/>
  <c r="A1070" i="18"/>
  <c r="B1070" i="18"/>
  <c r="C1070" i="18"/>
  <c r="D1070" i="18"/>
  <c r="E1070" i="18"/>
  <c r="F1070" i="18"/>
  <c r="G1070" i="18"/>
  <c r="H1070" i="18"/>
  <c r="I1070" i="18"/>
  <c r="J1070" i="18"/>
  <c r="K1070" i="18"/>
  <c r="L1070" i="18"/>
  <c r="A1071" i="18"/>
  <c r="B1071" i="18"/>
  <c r="I1071" i="18" s="1"/>
  <c r="C1071" i="18"/>
  <c r="L1071" i="18" s="1"/>
  <c r="D1071" i="18"/>
  <c r="E1071" i="18"/>
  <c r="F1071" i="18"/>
  <c r="G1071" i="18"/>
  <c r="H1071" i="18"/>
  <c r="J1071" i="18"/>
  <c r="K1071" i="18"/>
  <c r="A1072" i="18"/>
  <c r="B1072" i="18"/>
  <c r="C1072" i="18"/>
  <c r="D1072" i="18"/>
  <c r="E1072" i="18"/>
  <c r="F1072" i="18"/>
  <c r="G1072" i="18"/>
  <c r="H1072" i="18"/>
  <c r="I1072" i="18"/>
  <c r="J1072" i="18"/>
  <c r="K1072" i="18"/>
  <c r="L1072" i="18"/>
  <c r="A1073" i="18"/>
  <c r="B1073" i="18"/>
  <c r="I1073" i="18" s="1"/>
  <c r="C1073" i="18"/>
  <c r="L1073" i="18" s="1"/>
  <c r="D1073" i="18"/>
  <c r="E1073" i="18"/>
  <c r="F1073" i="18"/>
  <c r="G1073" i="18"/>
  <c r="H1073" i="18"/>
  <c r="K1073" i="18"/>
  <c r="A1074" i="18"/>
  <c r="B1074" i="18"/>
  <c r="C1074" i="18"/>
  <c r="D1074" i="18"/>
  <c r="E1074" i="18"/>
  <c r="F1074" i="18"/>
  <c r="G1074" i="18"/>
  <c r="H1074" i="18"/>
  <c r="I1074" i="18"/>
  <c r="J1074" i="18"/>
  <c r="K1074" i="18"/>
  <c r="L1074" i="18"/>
  <c r="A1075" i="18"/>
  <c r="B1075" i="18"/>
  <c r="J1075" i="18" s="1"/>
  <c r="C1075" i="18"/>
  <c r="L1075" i="18" s="1"/>
  <c r="D1075" i="18"/>
  <c r="E1075" i="18"/>
  <c r="F1075" i="18"/>
  <c r="G1075" i="18"/>
  <c r="H1075" i="18"/>
  <c r="A1076" i="18"/>
  <c r="B1076" i="18"/>
  <c r="C1076" i="18"/>
  <c r="D1076" i="18"/>
  <c r="E1076" i="18"/>
  <c r="F1076" i="18"/>
  <c r="G1076" i="18"/>
  <c r="H1076" i="18"/>
  <c r="I1076" i="18"/>
  <c r="J1076" i="18"/>
  <c r="K1076" i="18"/>
  <c r="L1076" i="18"/>
  <c r="A1077" i="18"/>
  <c r="B1077" i="18"/>
  <c r="I1077" i="18" s="1"/>
  <c r="C1077" i="18"/>
  <c r="L1077" i="18" s="1"/>
  <c r="D1077" i="18"/>
  <c r="E1077" i="18"/>
  <c r="F1077" i="18"/>
  <c r="G1077" i="18"/>
  <c r="H1077" i="18"/>
  <c r="J1077" i="18"/>
  <c r="A1078" i="18"/>
  <c r="B1078" i="18"/>
  <c r="C1078" i="18"/>
  <c r="K1078" i="18" s="1"/>
  <c r="D1078" i="18"/>
  <c r="E1078" i="18"/>
  <c r="F1078" i="18"/>
  <c r="G1078" i="18"/>
  <c r="H1078" i="18"/>
  <c r="I1078" i="18"/>
  <c r="J1078" i="18"/>
  <c r="L1078" i="18"/>
  <c r="A1079" i="18"/>
  <c r="B1079" i="18"/>
  <c r="C1079" i="18"/>
  <c r="L1079" i="18" s="1"/>
  <c r="D1079" i="18"/>
  <c r="E1079" i="18"/>
  <c r="F1079" i="18"/>
  <c r="G1079" i="18"/>
  <c r="H1079" i="18"/>
  <c r="I1079" i="18"/>
  <c r="J1079" i="18"/>
  <c r="K1079" i="18"/>
  <c r="A1080" i="18"/>
  <c r="B1080" i="18"/>
  <c r="C1080" i="18"/>
  <c r="D1080" i="18"/>
  <c r="E1080" i="18"/>
  <c r="F1080" i="18"/>
  <c r="G1080" i="18"/>
  <c r="H1080" i="18"/>
  <c r="I1080" i="18"/>
  <c r="J1080" i="18"/>
  <c r="K1080" i="18"/>
  <c r="L1080" i="18"/>
  <c r="A1081" i="18"/>
  <c r="B1081" i="18"/>
  <c r="C1081" i="18"/>
  <c r="L1081" i="18" s="1"/>
  <c r="D1081" i="18"/>
  <c r="E1081" i="18"/>
  <c r="F1081" i="18"/>
  <c r="G1081" i="18"/>
  <c r="H1081" i="18"/>
  <c r="I1081" i="18"/>
  <c r="J1081" i="18"/>
  <c r="K1081" i="18"/>
  <c r="A1082" i="18"/>
  <c r="B1082" i="18"/>
  <c r="C1082" i="18"/>
  <c r="D1082" i="18"/>
  <c r="E1082" i="18"/>
  <c r="F1082" i="18"/>
  <c r="G1082" i="18"/>
  <c r="H1082" i="18"/>
  <c r="I1082" i="18"/>
  <c r="J1082" i="18"/>
  <c r="K1082" i="18"/>
  <c r="L1082" i="18"/>
  <c r="A1083" i="18"/>
  <c r="B1083" i="18"/>
  <c r="I1083" i="18" s="1"/>
  <c r="C1083" i="18"/>
  <c r="L1083" i="18" s="1"/>
  <c r="D1083" i="18"/>
  <c r="E1083" i="18"/>
  <c r="F1083" i="18"/>
  <c r="G1083" i="18"/>
  <c r="H1083" i="18"/>
  <c r="K1083" i="18"/>
  <c r="A1084" i="18"/>
  <c r="B1084" i="18"/>
  <c r="C1084" i="18"/>
  <c r="D1084" i="18"/>
  <c r="E1084" i="18"/>
  <c r="F1084" i="18"/>
  <c r="G1084" i="18"/>
  <c r="H1084" i="18"/>
  <c r="I1084" i="18"/>
  <c r="J1084" i="18"/>
  <c r="K1084" i="18"/>
  <c r="L1084" i="18"/>
  <c r="A1085" i="18"/>
  <c r="B1085" i="18"/>
  <c r="J1085" i="18" s="1"/>
  <c r="C1085" i="18"/>
  <c r="L1085" i="18" s="1"/>
  <c r="D1085" i="18"/>
  <c r="E1085" i="18"/>
  <c r="F1085" i="18"/>
  <c r="G1085" i="18"/>
  <c r="H1085" i="18"/>
  <c r="K1085" i="18"/>
  <c r="A1086" i="18"/>
  <c r="B1086" i="18"/>
  <c r="C1086" i="18"/>
  <c r="D1086" i="18"/>
  <c r="E1086" i="18"/>
  <c r="F1086" i="18"/>
  <c r="G1086" i="18"/>
  <c r="H1086" i="18"/>
  <c r="I1086" i="18"/>
  <c r="J1086" i="18"/>
  <c r="K1086" i="18"/>
  <c r="L1086" i="18"/>
  <c r="A1087" i="18"/>
  <c r="B1087" i="18"/>
  <c r="I1087" i="18" s="1"/>
  <c r="C1087" i="18"/>
  <c r="L1087" i="18" s="1"/>
  <c r="D1087" i="18"/>
  <c r="E1087" i="18"/>
  <c r="F1087" i="18"/>
  <c r="G1087" i="18"/>
  <c r="H1087" i="18"/>
  <c r="A1088" i="18"/>
  <c r="B1088" i="18"/>
  <c r="C1088" i="18"/>
  <c r="D1088" i="18"/>
  <c r="E1088" i="18"/>
  <c r="F1088" i="18"/>
  <c r="G1088" i="18"/>
  <c r="H1088" i="18"/>
  <c r="I1088" i="18"/>
  <c r="J1088" i="18"/>
  <c r="K1088" i="18"/>
  <c r="L1088" i="18"/>
  <c r="A1089" i="18"/>
  <c r="B1089" i="18"/>
  <c r="J1089" i="18" s="1"/>
  <c r="C1089" i="18"/>
  <c r="L1089" i="18" s="1"/>
  <c r="D1089" i="18"/>
  <c r="E1089" i="18"/>
  <c r="F1089" i="18"/>
  <c r="G1089" i="18"/>
  <c r="H1089" i="18"/>
  <c r="K1089" i="18"/>
  <c r="A1090" i="18"/>
  <c r="B1090" i="18"/>
  <c r="C1090" i="18"/>
  <c r="D1090" i="18"/>
  <c r="E1090" i="18"/>
  <c r="F1090" i="18"/>
  <c r="G1090" i="18"/>
  <c r="H1090" i="18"/>
  <c r="I1090" i="18"/>
  <c r="J1090" i="18"/>
  <c r="K1090" i="18"/>
  <c r="L1090" i="18"/>
  <c r="A1091" i="18"/>
  <c r="B1091" i="18"/>
  <c r="I1091" i="18" s="1"/>
  <c r="C1091" i="18"/>
  <c r="L1091" i="18" s="1"/>
  <c r="D1091" i="18"/>
  <c r="E1091" i="18"/>
  <c r="F1091" i="18"/>
  <c r="G1091" i="18"/>
  <c r="H1091" i="18"/>
  <c r="K1091" i="18"/>
  <c r="A1092" i="18"/>
  <c r="B1092" i="18"/>
  <c r="C1092" i="18"/>
  <c r="D1092" i="18"/>
  <c r="E1092" i="18"/>
  <c r="F1092" i="18"/>
  <c r="G1092" i="18"/>
  <c r="H1092" i="18"/>
  <c r="I1092" i="18"/>
  <c r="J1092" i="18"/>
  <c r="K1092" i="18"/>
  <c r="L1092" i="18"/>
  <c r="A1093" i="18"/>
  <c r="B1093" i="18"/>
  <c r="I1093" i="18" s="1"/>
  <c r="C1093" i="18"/>
  <c r="L1093" i="18" s="1"/>
  <c r="D1093" i="18"/>
  <c r="E1093" i="18"/>
  <c r="F1093" i="18"/>
  <c r="G1093" i="18"/>
  <c r="H1093" i="18"/>
  <c r="K1093" i="18"/>
  <c r="A1094" i="18"/>
  <c r="B1094" i="18"/>
  <c r="C1094" i="18"/>
  <c r="K1094" i="18" s="1"/>
  <c r="D1094" i="18"/>
  <c r="E1094" i="18"/>
  <c r="F1094" i="18"/>
  <c r="G1094" i="18"/>
  <c r="H1094" i="18"/>
  <c r="I1094" i="18"/>
  <c r="J1094" i="18"/>
  <c r="L1094" i="18"/>
  <c r="A1095" i="18"/>
  <c r="B1095" i="18"/>
  <c r="C1095" i="18"/>
  <c r="L1095" i="18" s="1"/>
  <c r="D1095" i="18"/>
  <c r="E1095" i="18"/>
  <c r="F1095" i="18"/>
  <c r="G1095" i="18"/>
  <c r="H1095" i="18"/>
  <c r="I1095" i="18"/>
  <c r="J1095" i="18"/>
  <c r="K1095" i="18"/>
  <c r="A1096" i="18"/>
  <c r="B1096" i="18"/>
  <c r="C1096" i="18"/>
  <c r="D1096" i="18"/>
  <c r="E1096" i="18"/>
  <c r="F1096" i="18"/>
  <c r="G1096" i="18"/>
  <c r="H1096" i="18"/>
  <c r="I1096" i="18"/>
  <c r="J1096" i="18"/>
  <c r="K1096" i="18"/>
  <c r="L1096" i="18"/>
  <c r="A1097" i="18"/>
  <c r="B1097" i="18"/>
  <c r="I1097" i="18" s="1"/>
  <c r="C1097" i="18"/>
  <c r="L1097" i="18" s="1"/>
  <c r="D1097" i="18"/>
  <c r="E1097" i="18"/>
  <c r="F1097" i="18"/>
  <c r="G1097" i="18"/>
  <c r="H1097" i="18"/>
  <c r="J1097" i="18"/>
  <c r="K1097" i="18"/>
  <c r="A1098" i="18"/>
  <c r="B1098" i="18"/>
  <c r="C1098" i="18"/>
  <c r="D1098" i="18"/>
  <c r="E1098" i="18"/>
  <c r="F1098" i="18"/>
  <c r="G1098" i="18"/>
  <c r="H1098" i="18"/>
  <c r="I1098" i="18"/>
  <c r="J1098" i="18"/>
  <c r="K1098" i="18"/>
  <c r="L1098" i="18"/>
  <c r="A1099" i="18"/>
  <c r="B1099" i="18"/>
  <c r="I1099" i="18" s="1"/>
  <c r="C1099" i="18"/>
  <c r="L1099" i="18" s="1"/>
  <c r="D1099" i="18"/>
  <c r="E1099" i="18"/>
  <c r="F1099" i="18"/>
  <c r="G1099" i="18"/>
  <c r="H1099" i="18"/>
  <c r="K1099" i="18"/>
  <c r="A1100" i="18"/>
  <c r="B1100" i="18"/>
  <c r="C1100" i="18"/>
  <c r="D1100" i="18"/>
  <c r="E1100" i="18"/>
  <c r="F1100" i="18"/>
  <c r="G1100" i="18"/>
  <c r="H1100" i="18"/>
  <c r="I1100" i="18"/>
  <c r="J1100" i="18"/>
  <c r="K1100" i="18"/>
  <c r="L1100" i="18"/>
  <c r="B2" i="11"/>
  <c r="B2" i="18"/>
  <c r="C2" i="18"/>
  <c r="D2" i="18"/>
  <c r="E2" i="18"/>
  <c r="F2" i="18"/>
  <c r="G2" i="18"/>
  <c r="H2" i="18"/>
  <c r="A2" i="18"/>
  <c r="H6" i="12"/>
  <c r="G6" i="12"/>
  <c r="F6" i="12"/>
  <c r="E6" i="12"/>
  <c r="D6" i="12"/>
  <c r="H5" i="12"/>
  <c r="G5" i="12"/>
  <c r="F5" i="12"/>
  <c r="B6" i="12" s="1"/>
  <c r="E5" i="12"/>
  <c r="D5" i="12"/>
  <c r="H4" i="12"/>
  <c r="G4" i="12"/>
  <c r="F4" i="12"/>
  <c r="B5" i="12" s="1"/>
  <c r="E4" i="12"/>
  <c r="D4" i="12"/>
  <c r="H3" i="12"/>
  <c r="G3" i="12"/>
  <c r="F3" i="12"/>
  <c r="B4" i="12" s="1"/>
  <c r="E3" i="12"/>
  <c r="D3" i="12"/>
  <c r="H2" i="12"/>
  <c r="G2" i="12"/>
  <c r="F2" i="12"/>
  <c r="B3" i="12" s="1"/>
  <c r="E2" i="12"/>
  <c r="D2" i="12"/>
  <c r="B2" i="12"/>
  <c r="E9" i="8"/>
  <c r="D7" i="7" a="1"/>
  <c r="D7" i="7" s="1"/>
  <c r="E7" i="7" a="1"/>
  <c r="E7" i="7" s="1"/>
  <c r="C7" i="7" a="1"/>
  <c r="C7" i="7" s="1"/>
  <c r="J2" i="11"/>
  <c r="I2" i="11"/>
  <c r="H2" i="11"/>
  <c r="A2" i="11"/>
  <c r="E8" i="8"/>
  <c r="L7" i="3"/>
  <c r="I7" i="3"/>
  <c r="C2" i="11"/>
  <c r="K7" i="3" l="1"/>
  <c r="M7" i="3" s="1"/>
  <c r="J3" i="18"/>
  <c r="K3" i="18"/>
  <c r="K10" i="18"/>
  <c r="J8" i="18"/>
  <c r="J10" i="18"/>
  <c r="L7" i="18"/>
  <c r="K8" i="18"/>
  <c r="L5" i="18"/>
  <c r="K12" i="18"/>
  <c r="J12" i="18"/>
  <c r="K6" i="18"/>
  <c r="L9" i="18"/>
  <c r="J9" i="18"/>
  <c r="J5" i="18"/>
  <c r="K4" i="18"/>
  <c r="L11" i="18"/>
  <c r="J17" i="18"/>
  <c r="J14" i="18"/>
  <c r="J11" i="18"/>
  <c r="J4" i="18"/>
  <c r="J7" i="18"/>
  <c r="J6" i="18"/>
  <c r="J1087" i="18"/>
  <c r="J1083" i="18"/>
  <c r="J1099" i="18"/>
  <c r="K1087" i="18"/>
  <c r="K943" i="18"/>
  <c r="J933" i="18"/>
  <c r="K917" i="18"/>
  <c r="K909" i="18"/>
  <c r="K901" i="18"/>
  <c r="I1085" i="18"/>
  <c r="K1059" i="18"/>
  <c r="K1049" i="18"/>
  <c r="K1061" i="18"/>
  <c r="K977" i="18"/>
  <c r="K945" i="18"/>
  <c r="K937" i="18"/>
  <c r="J935" i="18"/>
  <c r="J927" i="18"/>
  <c r="K919" i="18"/>
  <c r="K911" i="18"/>
  <c r="K903" i="18"/>
  <c r="K1051" i="18"/>
  <c r="J1005" i="18"/>
  <c r="J991" i="18"/>
  <c r="J975" i="18"/>
  <c r="J1091" i="18"/>
  <c r="I1089" i="18"/>
  <c r="I1075" i="18"/>
  <c r="J945" i="18"/>
  <c r="K929" i="18"/>
  <c r="K1075" i="18"/>
  <c r="J1073" i="18"/>
  <c r="J1063" i="18"/>
  <c r="K939" i="18"/>
  <c r="J929" i="18"/>
  <c r="K921" i="18"/>
  <c r="K913" i="18"/>
  <c r="K905" i="18"/>
  <c r="K1077" i="18"/>
  <c r="J1093" i="18"/>
  <c r="J939" i="18"/>
  <c r="K931" i="18"/>
  <c r="K162" i="18"/>
  <c r="K146" i="18"/>
  <c r="K130" i="18"/>
  <c r="J114" i="18"/>
  <c r="J96" i="18"/>
  <c r="K164" i="18"/>
  <c r="K148" i="18"/>
  <c r="K132" i="18"/>
  <c r="K116" i="18"/>
  <c r="J169" i="18"/>
  <c r="J153" i="18"/>
  <c r="J137" i="18"/>
  <c r="J121" i="18"/>
  <c r="J112" i="18"/>
  <c r="J115" i="18"/>
  <c r="J103" i="18"/>
  <c r="J53" i="18"/>
  <c r="J45" i="18"/>
  <c r="J37" i="18"/>
  <c r="J55" i="18"/>
  <c r="J47" i="18"/>
  <c r="J39" i="18"/>
  <c r="J57" i="18"/>
  <c r="J49" i="18"/>
  <c r="J41" i="18"/>
  <c r="J51" i="18"/>
  <c r="J43" i="18"/>
  <c r="J35" i="18"/>
  <c r="K2" i="18"/>
  <c r="L2" i="18"/>
  <c r="J2" i="18"/>
  <c r="I2" i="18"/>
  <c r="I5" i="12" l="1"/>
  <c r="I4" i="12"/>
  <c r="I3" i="12"/>
  <c r="I2" i="12"/>
  <c r="I6" i="12"/>
  <c r="J4" i="12"/>
  <c r="J3" i="12"/>
  <c r="J5" i="12"/>
  <c r="J6" i="12"/>
  <c r="J2" i="12"/>
  <c r="C48" i="2"/>
  <c r="C49" i="2" s="1"/>
  <c r="D2" i="11"/>
  <c r="F2" i="11"/>
  <c r="E2" i="11"/>
  <c r="C50" i="2" l="1"/>
  <c r="C51"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4470DC-9D44-9542-B06C-4D68F4A129CB}" keepAlive="1" name="Query - Sheet1" description="Connection to the 'Sheet1' query in the workbook." type="5" refreshedVersion="8" background="1" refreshOnLoad="1" saveData="1">
    <dbPr connection="Provider=Microsoft.Mashup.OleDb.1;Data Source=$Workbook$;Location=Sheet1;Extended Properties=&quot;&quot;" command="SELECT * FROM [Sheet1]"/>
  </connection>
  <connection id="2" xr16:uid="{A61F0B95-E7EB-C047-961B-32A973FDF367}" keepAlive="1" name="Query - Sheet1 (2)" description="Connection to the 'Sheet1 (2)' query in the workbook." type="5" refreshedVersion="8" background="1" saveData="1">
    <dbPr connection="Provider=Microsoft.Mashup.OleDb.1;Data Source=$Workbook$;Location=&quot;Sheet1 (2)&quot;;Extended Properties=&quot;&quot;" command="SELECT * FROM [Sheet1 (2)]"/>
  </connection>
  <connection id="3" xr16:uid="{315D3263-A112-FE4E-83AB-B7A7672181A3}" keepAlive="1" name="Query - Sheet1 (3)" description="Connection to the 'Sheet1 (3)' query in the workbook." type="5" refreshedVersion="8" background="1" saveData="1">
    <dbPr connection="Provider=Microsoft.Mashup.OleDb.1;Data Source=$Workbook$;Location=&quot;Sheet1 (3)&quot;;Extended Properties=&quot;&quot;" command="SELECT * FROM [Sheet1 (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<sst xmlns="http://schemas.openxmlformats.org/spreadsheetml/2006/main" count="462" uniqueCount="230">
  <si>
    <t>Description</t>
  </si>
  <si>
    <t>Emissions input and calculation</t>
  </si>
  <si>
    <t>This sheet contains the input fields and calculations for the coldchain logistics emissions</t>
  </si>
  <si>
    <t>Input Fields are shaded in orange</t>
  </si>
  <si>
    <t>Input</t>
  </si>
  <si>
    <t>Output Fields are shaded in green</t>
  </si>
  <si>
    <t>Output</t>
  </si>
  <si>
    <t>Container Data</t>
  </si>
  <si>
    <t>Container Type</t>
  </si>
  <si>
    <t>Temperature Range</t>
  </si>
  <si>
    <t>+2/+8°C</t>
  </si>
  <si>
    <t>Does not update automatically. Always choose newly.</t>
  </si>
  <si>
    <t>Shipment Volume [m3]</t>
  </si>
  <si>
    <t>Shipment Weight [kg]</t>
  </si>
  <si>
    <t>Number of containers needed</t>
  </si>
  <si>
    <t>Total weight (payload plus containers) [kg]</t>
  </si>
  <si>
    <t>Total exterior volume [m3]</t>
  </si>
  <si>
    <t>Itinerary Components</t>
  </si>
  <si>
    <t>1. Origin Service Center</t>
  </si>
  <si>
    <t>ServiceCenter</t>
  </si>
  <si>
    <t>Frankfurt Service Center</t>
  </si>
  <si>
    <t>2. Customer Pickup Location</t>
  </si>
  <si>
    <t>Customer</t>
  </si>
  <si>
    <t>Generic Pharma Darmstadt</t>
  </si>
  <si>
    <t>3. Origin Airport</t>
  </si>
  <si>
    <t>Airport</t>
  </si>
  <si>
    <t>Frankfurt Airport</t>
  </si>
  <si>
    <t>4. Destination Airport</t>
  </si>
  <si>
    <t>Philadelphia Airport</t>
  </si>
  <si>
    <t>5. Customer Dropoff Location</t>
  </si>
  <si>
    <t>Generic Pharma Philadelphia</t>
  </si>
  <si>
    <t>6. Destination Service Center</t>
  </si>
  <si>
    <t>Philadelphia Service Center</t>
  </si>
  <si>
    <t>Transportation Components</t>
  </si>
  <si>
    <t>Aircraft Type</t>
  </si>
  <si>
    <t>Weight Load Factor [%]</t>
  </si>
  <si>
    <t>Volumetric Load Factor [%]</t>
  </si>
  <si>
    <t>Emissions</t>
  </si>
  <si>
    <t>Fixed manufacturing and EoL emissions [kg CO2]</t>
  </si>
  <si>
    <t>Preconditioning emissions [kg CO2]</t>
  </si>
  <si>
    <t>Total Nominal Emissions [kg CO2]</t>
  </si>
  <si>
    <t>Total Emissions [kg CO2]</t>
  </si>
  <si>
    <t>Total Emissions/m3 payload [kg CO2]</t>
  </si>
  <si>
    <t>Container specifications</t>
  </si>
  <si>
    <t>Container</t>
  </si>
  <si>
    <t>Exterior Volume [m3]</t>
  </si>
  <si>
    <t>Usable Interior Volume [m3]</t>
  </si>
  <si>
    <t>Effective Interior Volume [m3]</t>
  </si>
  <si>
    <t>Unladen weight [kg]</t>
  </si>
  <si>
    <t>Number of shipments per lifetime</t>
  </si>
  <si>
    <t>Success-rate</t>
  </si>
  <si>
    <t>Loss-rate (e.g. from temperature excursion)</t>
  </si>
  <si>
    <t>Emissions from Material, Production, Disposal [t-CO2/container]</t>
  </si>
  <si>
    <t>CO2 Emissions from Material, Production, Disposal per m^3 usable interior volume [t-CO2/m3]</t>
  </si>
  <si>
    <t>Emissions from Material, Production, Disposal normalized by number of shipments per lifetime [kg-CO2/container]</t>
  </si>
  <si>
    <t>Destination Service Center</t>
  </si>
  <si>
    <t>Number of containers shipped</t>
  </si>
  <si>
    <t>Basel</t>
  </si>
  <si>
    <t>Philadelphia</t>
  </si>
  <si>
    <t>Tel Aviv</t>
  </si>
  <si>
    <t>Location Data</t>
  </si>
  <si>
    <t>Location Type</t>
  </si>
  <si>
    <t>Location Name</t>
  </si>
  <si>
    <t>Country</t>
  </si>
  <si>
    <t>City</t>
  </si>
  <si>
    <t>Latitude</t>
  </si>
  <si>
    <t>Longitude</t>
  </si>
  <si>
    <t>Germany</t>
  </si>
  <si>
    <t>Frankfurt</t>
  </si>
  <si>
    <t>Basel Airport</t>
  </si>
  <si>
    <t>Switzerland</t>
  </si>
  <si>
    <t>United States of America</t>
  </si>
  <si>
    <t>Tel Aviv Airport</t>
  </si>
  <si>
    <t>Israel</t>
  </si>
  <si>
    <t>Service Center</t>
  </si>
  <si>
    <t>Basel Service Center</t>
  </si>
  <si>
    <t>Tel Aviv Service Center</t>
  </si>
  <si>
    <t>Darmstadt</t>
  </si>
  <si>
    <t>1. Origin Service Center to Customer Pickup Location</t>
  </si>
  <si>
    <t>2. Customer Pickup Location to Origin Airport</t>
  </si>
  <si>
    <t>3. Origin Airport to Destination Airport</t>
  </si>
  <si>
    <t>4. Destination Airport Location to Customer Dropoff Location</t>
  </si>
  <si>
    <t>5. Customer Dropoff Location to Destination Service Center</t>
  </si>
  <si>
    <t>Leg</t>
  </si>
  <si>
    <t>Origin</t>
  </si>
  <si>
    <t>Origin Latitude</t>
  </si>
  <si>
    <t>Origin Longitude</t>
  </si>
  <si>
    <t>Destination</t>
  </si>
  <si>
    <t>Destination Latitude</t>
  </si>
  <si>
    <t>Destination Longitude</t>
  </si>
  <si>
    <t>Road</t>
  </si>
  <si>
    <t>Air</t>
  </si>
  <si>
    <t>Preconditioning Data</t>
  </si>
  <si>
    <t>This sheet contains relevant emission and energy factors and data from container preconditioning and cooling</t>
  </si>
  <si>
    <t>Temperature</t>
  </si>
  <si>
    <t>Origin Country</t>
  </si>
  <si>
    <t>Helper Column</t>
  </si>
  <si>
    <t>Emissions per container [kg CO2]</t>
  </si>
  <si>
    <t>Total Shipment Weight [kg]</t>
  </si>
  <si>
    <t>Empty Container Weight [kg]</t>
  </si>
  <si>
    <t>Variable Road Transport Emissions [kg CO2]</t>
  </si>
  <si>
    <t>Variable Air Transport Emissions [kg CO2]</t>
  </si>
  <si>
    <t>Column1</t>
  </si>
  <si>
    <t>Variable road freight emissions</t>
  </si>
  <si>
    <t>Variable air freight emissions</t>
  </si>
  <si>
    <t>B747-800F</t>
  </si>
  <si>
    <t>-</t>
  </si>
  <si>
    <t>Munich Service Center</t>
  </si>
  <si>
    <t>Munich</t>
  </si>
  <si>
    <t>Shipment Type</t>
  </si>
  <si>
    <t>Transportation mode</t>
  </si>
  <si>
    <t>Transportation Mode</t>
  </si>
  <si>
    <t>Distance (if available)</t>
  </si>
  <si>
    <t>Big Pharma Basel</t>
  </si>
  <si>
    <t>Bogota</t>
  </si>
  <si>
    <t>Colombia Pharma SA</t>
  </si>
  <si>
    <t>Colombia</t>
  </si>
  <si>
    <t>Port</t>
  </si>
  <si>
    <t>Port of Cartagena</t>
  </si>
  <si>
    <t>Cartagena</t>
  </si>
  <si>
    <t>Bogota Airport</t>
  </si>
  <si>
    <t>Shipment Data</t>
  </si>
  <si>
    <t>Bogota Service Center</t>
  </si>
  <si>
    <t>Port of New York and New Jersey</t>
  </si>
  <si>
    <t>New York</t>
  </si>
  <si>
    <t>This sheet contains data about previous (and potentially) future shipments to calculate the emissions from repositioning and may need to be updated for each new shipment. The new shipment data is not to be included here.</t>
  </si>
  <si>
    <t>Origin Service Center</t>
  </si>
  <si>
    <t>Distance [km] (if available)</t>
  </si>
  <si>
    <t>Aircraft Model</t>
  </si>
  <si>
    <t>A320 Belly</t>
  </si>
  <si>
    <t>B737-800-Belly</t>
  </si>
  <si>
    <t>B787-8-Belly</t>
  </si>
  <si>
    <t>A330-300x-Belly</t>
  </si>
  <si>
    <t>B767-200-Belly</t>
  </si>
  <si>
    <t>B767-300-Belly</t>
  </si>
  <si>
    <t>A330-300-Belly</t>
  </si>
  <si>
    <t>A340-300-Belly</t>
  </si>
  <si>
    <t>A330-200-Belly</t>
  </si>
  <si>
    <t>B777-200-Belly</t>
  </si>
  <si>
    <t>A340-600-Belly</t>
  </si>
  <si>
    <t>B777-300-Belly</t>
  </si>
  <si>
    <t>B747-400 Combi</t>
  </si>
  <si>
    <t>B747-400-Belly</t>
  </si>
  <si>
    <t xml:space="preserve">B737-700-Belly </t>
  </si>
  <si>
    <t>Saab 340B</t>
  </si>
  <si>
    <t>ATR 42-300 Freighter</t>
  </si>
  <si>
    <t>AN-26 Freighter</t>
  </si>
  <si>
    <t>F-27-500</t>
  </si>
  <si>
    <t>BAe-146-200F</t>
  </si>
  <si>
    <t>L-188 Electra Freighter</t>
  </si>
  <si>
    <t>B737-300SF</t>
  </si>
  <si>
    <t>A320 Freighter</t>
  </si>
  <si>
    <t>AN-12</t>
  </si>
  <si>
    <t>TU-204-100C</t>
  </si>
  <si>
    <t>B727-200F</t>
  </si>
  <si>
    <t>B757-200SF</t>
  </si>
  <si>
    <t>A310-300 Freighter</t>
  </si>
  <si>
    <t>B757-200F</t>
  </si>
  <si>
    <t>B757-200PF</t>
  </si>
  <si>
    <t>A300-B4 Freighter</t>
  </si>
  <si>
    <t>B767-200ERF</t>
  </si>
  <si>
    <t>IL-76MD</t>
  </si>
  <si>
    <t>A300-600F</t>
  </si>
  <si>
    <t>DC-8-63F</t>
  </si>
  <si>
    <t>DC-8-73F</t>
  </si>
  <si>
    <t>B767-300 Freighter</t>
  </si>
  <si>
    <t>B767-300F</t>
  </si>
  <si>
    <t>DC-10-30F</t>
  </si>
  <si>
    <t>MD-11 Freighter</t>
  </si>
  <si>
    <t>MD-11F</t>
  </si>
  <si>
    <t>B777-200F</t>
  </si>
  <si>
    <t>B747-200F</t>
  </si>
  <si>
    <t>B747-400F</t>
  </si>
  <si>
    <t>Freight aircraft</t>
  </si>
  <si>
    <t>Belly freight - cargo</t>
  </si>
  <si>
    <t>Aircraft Types</t>
  </si>
  <si>
    <t>Airplane Type</t>
  </si>
  <si>
    <t>Airplane model</t>
  </si>
  <si>
    <t>Total Emissions/kg payload [kg CO2]</t>
  </si>
  <si>
    <t>Not available</t>
  </si>
  <si>
    <t>If unknown, enter 'Not available'</t>
  </si>
  <si>
    <t>Estimating and allocating carbon emissions in cold chain logistics</t>
  </si>
  <si>
    <t>Description of workbook sheets</t>
  </si>
  <si>
    <t>Sheet</t>
  </si>
  <si>
    <t>Emissions Calculator</t>
  </si>
  <si>
    <t>Contains all specifications and emissions from cooling containers including fixed emissions from material, production and disposal. Should be set up once and only requires updates when new container data becomes available.</t>
  </si>
  <si>
    <t>This sheet contains all specifications and emissions from cooling containers including fixed emissions from material, production and disposal</t>
  </si>
  <si>
    <t>Shipment Data for Provisioning</t>
  </si>
  <si>
    <t>Repositioning/Provisioning emissions</t>
  </si>
  <si>
    <t>This sheet contains location data for airports, ports, customers, and service centers</t>
  </si>
  <si>
    <t>Contains location data for airports, ports, customers, and service centers. Should reflect entire service network for being able to accurately calculate transportation-related emissions.</t>
  </si>
  <si>
    <t>Filered Data</t>
  </si>
  <si>
    <t>This sheet uses 'Location Data' to  aggregate the location types as well as inputs in 'Emissions Calculator' to filter feasible fields</t>
  </si>
  <si>
    <t>B777-300ER-Belly</t>
  </si>
  <si>
    <t>A380-800-Belly</t>
  </si>
  <si>
    <t>Minimum value 50 %; default 65%</t>
  </si>
  <si>
    <t>Minimum value 50 %; default 75%</t>
  </si>
  <si>
    <t>Filtered Input Data</t>
  </si>
  <si>
    <t>Helper Spreadsheet to filter drop-down lists based on Input in 'Emissions Calculator'. Does not need to be updated but should be checked for still accurate referencing if 'Location Data' or 'Airplane Types' has been changed.</t>
  </si>
  <si>
    <t>Contains relevant emission data and energy factors from container preconditioning and cooling. Should be set up once and only requires updates when new container data becomes available.</t>
  </si>
  <si>
    <t>Script input transpo data</t>
  </si>
  <si>
    <t>Script input new shipment data</t>
  </si>
  <si>
    <t>Script Output Emissions Data</t>
  </si>
  <si>
    <t>Contains the emissions from transportation and repositioning and is used for reference in 'Emissions Calculator'. PowerQuery to 'Transportation_emissions_output.xlsx'.</t>
  </si>
  <si>
    <t>Script input provisioning data</t>
  </si>
  <si>
    <t>References the shipment data for calculating the provisioning emissions for easier readability for Python script. Should not be changed but may be checked occasionally for accuracy.</t>
  </si>
  <si>
    <t>References the transportation itinerary of the container shipment in 'Emissions Calculator' for easier readability for Python script. Should not be changed but may be checked occasionally for accuracy.</t>
  </si>
  <si>
    <t>References container and shipment data from 'Emissions Calculator' for easier readability for Python script. Should not be changed but may be checked occasionally for accuracy.</t>
  </si>
  <si>
    <t>Airplane models by type</t>
  </si>
  <si>
    <t>San Juan Airport</t>
  </si>
  <si>
    <t>San Juan</t>
  </si>
  <si>
    <t>Generic Pharma San Juan</t>
  </si>
  <si>
    <t>San Juan Service Center</t>
  </si>
  <si>
    <t>Port of Rotterdam</t>
  </si>
  <si>
    <t>Netherlands</t>
  </si>
  <si>
    <t>Rotterdam</t>
  </si>
  <si>
    <t>Product shipment</t>
  </si>
  <si>
    <t>Lists aircraft models that can be used with the NTM Tool. May be updated if new aircraft models are allowed. Last update May 1st, 2023.</t>
  </si>
  <si>
    <t>Variable Provisioning Emissions [kg CO2]</t>
  </si>
  <si>
    <t>Dummy Container</t>
  </si>
  <si>
    <t>Provisioning</t>
  </si>
  <si>
    <t>Interior Volume [m3]</t>
  </si>
  <si>
    <t>Assumption: We assume that the shipment volume &amp; weight is uniformly distributed and can be divided arbitrarily to fit into cooling containers. Moreover, the volume and weight of the pallet has to be included as well. If these assumptions do not hold, directly insert the number of containers and the weight of the loads needed.</t>
  </si>
  <si>
    <t>Maritime</t>
  </si>
  <si>
    <t>Exemplary Active Container</t>
  </si>
  <si>
    <t>Exemplary Hybrid Container</t>
  </si>
  <si>
    <t>Exemplary Passive Container</t>
  </si>
  <si>
    <t>Main sheet in the workbook for performing carbon emissions of cold chain logistics transportation. Input Fields are shaded in orange, Output Fields are shaded in green. Most input fields should be based on pre-set dropdown lists and may update depending on other fields' inputs. The "Calculate Emissions" Button activates the VBA Macro to calculate emissions from transportation and repositioning. Operate in three steps: 1) Change shipment data and save workbook; 2) hit the 'Calculate Emissions' Button and let the tool calculate the emissions; 3) Refresh Data (e.g., via `Refresh All` Button in `Data` Section) to receive updated estimate.</t>
  </si>
  <si>
    <t>This workbook provides an implementation of the MIT CTL tool for estimating and allocating carbon emissions in cold chain logistics for pharmaceuticals. This sheet briefly describes the content and role of each sheet in the workbook.</t>
  </si>
  <si>
    <t>Contains data about previous (and potentially) future shipments. Used to calculate the emissions from provisioning. Users may need to periodically adjust it for new shipments and time periods. Data about to-be-analysed outgoing shipment is not to be included here, yet expected repositioning/provisioning shipments must be included and updated.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</si>
</sst>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
    <numFmt numFmtId="166" formatCode="0.00000"/>
    <numFmt numFmtId="167" formatCode="0.000"/>
  </numFmts>
  <fonts count="11" x14ac:knownFonts="1">
    <font>
      <sz val="12"/>
      <color theme="1"/>
      <name val="Calibri"/>
      <family val="2"/>
      <scheme val="minor"/>
    </font>
    <font>
      <b/>
      <sz val="12"/>
      <color theme="1"/>
      <name val="Calibri"/>
      <family val="2"/>
      <scheme val="minor"/>
    </font>
    <font>
      <b/>
      <sz val="16"/>
      <color theme="1"/>
      <name val="Calibri"/>
      <family val="2"/>
      <scheme val="minor"/>
    </font>
    <font>
      <b/>
      <sz val="12"/>
      <color theme="5"/>
      <name val="Calibri"/>
      <family val="2"/>
      <scheme val="minor"/>
    </font>
    <font>
      <b/>
      <sz val="12"/>
      <color theme="9"/>
      <name val="Calibri"/>
      <family val="2"/>
      <scheme val="minor"/>
    </font>
    <font>
      <sz val="8"/>
      <color theme="1"/>
      <name val="Calibri"/>
      <family val="2"/>
      <scheme val="minor"/>
    </font>
    <font>
      <sz val="12"/>
      <color theme="1"/>
      <name val="Calibri"/>
      <family val="2"/>
    </font>
    <font>
      <sz val="12"/>
      <color rgb="FF000000"/>
      <name val="Calibri"/>
      <family val="2"/>
    </font>
    <font>
      <sz val="12"/>
      <color rgb="FFFF0000"/>
      <name val="Calibri"/>
      <family val="2"/>
      <scheme val="minor"/>
    </font>
    <font>
      <i/>
      <sz val="12"/>
      <color theme="1"/>
      <name val="Calibri"/>
      <family val="2"/>
      <scheme val="minor"/>
    </font>
    <font>
      <sz val="12"/>
      <color theme="5"/>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9" tint="0.79998168889431442"/>
        <bgColor indexed="64"/>
      </patternFill>
    </fill>
  </fills>
  <borders count="19">
    <border>
      <left/>
      <right/>
      <top/>
      <bottom/>
      <diagonal/>
    </border>
    <border>
      <left/>
      <right/>
      <top/>
      <bottom style="medium">
        <color indexed="64"/>
      </bottom>
      <diagonal/>
    </border>
    <border>
      <left style="thin">
        <color theme="5"/>
      </left>
      <right/>
      <top/>
      <bottom/>
      <diagonal/>
    </border>
    <border>
      <left/>
      <right style="thin">
        <color theme="5"/>
      </right>
      <top style="thin">
        <color theme="5"/>
      </top>
      <bottom/>
      <diagonal/>
    </border>
    <border>
      <left/>
      <right style="thin">
        <color theme="5"/>
      </right>
      <top/>
      <bottom/>
      <diagonal/>
    </border>
    <border>
      <left style="thin">
        <color theme="5"/>
      </left>
      <right/>
      <top style="thin">
        <color theme="5"/>
      </top>
      <bottom/>
      <diagonal/>
    </border>
    <border>
      <left style="thin">
        <color theme="5"/>
      </left>
      <right/>
      <top/>
      <bottom style="thin">
        <color theme="5"/>
      </bottom>
      <diagonal/>
    </border>
    <border>
      <left/>
      <right style="thin">
        <color theme="5"/>
      </right>
      <top/>
      <bottom style="thin">
        <color theme="5"/>
      </bottom>
      <diagonal/>
    </border>
    <border>
      <left/>
      <right/>
      <top style="thin">
        <color theme="5"/>
      </top>
      <bottom/>
      <diagonal/>
    </border>
    <border>
      <left/>
      <right/>
      <top style="medium">
        <color indexed="64"/>
      </top>
      <bottom style="thin">
        <color theme="9"/>
      </bottom>
      <diagonal/>
    </border>
    <border>
      <left/>
      <right style="thin">
        <color theme="9"/>
      </right>
      <top/>
      <bottom/>
      <diagonal/>
    </border>
    <border>
      <left style="thin">
        <color theme="9"/>
      </left>
      <right/>
      <top/>
      <bottom/>
      <diagonal/>
    </border>
    <border>
      <left/>
      <right style="thin">
        <color theme="9"/>
      </right>
      <top style="thin">
        <color theme="9"/>
      </top>
      <bottom/>
      <diagonal/>
    </border>
    <border>
      <left style="thin">
        <color theme="9"/>
      </left>
      <right/>
      <top/>
      <bottom style="thin">
        <color theme="9"/>
      </bottom>
      <diagonal/>
    </border>
    <border>
      <left/>
      <right style="thin">
        <color theme="9"/>
      </right>
      <top/>
      <bottom style="thin">
        <color theme="9"/>
      </bottom>
      <diagonal/>
    </border>
    <border>
      <left style="thin">
        <color theme="9"/>
      </left>
      <right/>
      <top style="thin">
        <color theme="9"/>
      </top>
      <bottom/>
      <diagonal/>
    </border>
    <border>
      <left/>
      <right/>
      <top/>
      <bottom style="thin">
        <color indexed="64"/>
      </bottom>
      <diagonal/>
    </border>
    <border>
      <left/>
      <right/>
      <top style="thin">
        <color indexed="64"/>
      </top>
      <bottom style="dashed">
        <color indexed="64"/>
      </bottom>
      <diagonal/>
    </border>
    <border>
      <left/>
      <right/>
      <top style="dashed">
        <color indexed="64"/>
      </top>
      <bottom style="dashed">
        <color indexed="64"/>
      </bottom>
      <diagonal/>
    </border>
  </borders>
  <cellStyleXfs count="1">
    <xf numFmtId="0" fontId="0" fillId="0" borderId="0"/>
  </cellStyleXfs>
  <cellXfs count="94">
    <xf numFmtId="0" fontId="0" fillId="0" borderId="0" xfId="0"/>
    <xf numFmtId="0" fontId="0" fillId="2" borderId="0" xfId="0" applyFill="1"/>
    <xf numFmtId="0" fontId="1" fillId="2" borderId="1" xfId="0" applyFont="1" applyFill="1" applyBorder="1"/>
    <xf numFmtId="0" fontId="0" fillId="2" borderId="0" xfId="0" applyFill="1" applyAlignment="1">
      <alignment horizontal="left" wrapText="1"/>
    </xf>
    <xf numFmtId="0" fontId="0" fillId="2" borderId="0" xfId="0" applyFill="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xf>
    <xf numFmtId="0" fontId="1" fillId="2" borderId="1" xfId="0" applyFont="1" applyFill="1" applyBorder="1" applyAlignment="1">
      <alignment horizontal="left" wrapText="1"/>
    </xf>
    <xf numFmtId="0" fontId="0" fillId="2" borderId="0" xfId="0" applyFill="1" applyAlignment="1">
      <alignment horizontal="left"/>
    </xf>
    <xf numFmtId="164" fontId="0" fillId="2" borderId="0" xfId="0" applyNumberFormat="1" applyFill="1" applyAlignment="1">
      <alignment wrapText="1"/>
    </xf>
    <xf numFmtId="0" fontId="0" fillId="3" borderId="0" xfId="0" applyFill="1"/>
    <xf numFmtId="0" fontId="0" fillId="3" borderId="0" xfId="0" applyFill="1" applyAlignment="1">
      <alignment wrapText="1"/>
    </xf>
    <xf numFmtId="0" fontId="2" fillId="3" borderId="0" xfId="0" applyFont="1" applyFill="1" applyAlignment="1">
      <alignment wrapText="1"/>
    </xf>
    <xf numFmtId="0" fontId="0" fillId="3" borderId="0" xfId="0" applyFill="1" applyAlignment="1">
      <alignment horizontal="left"/>
    </xf>
    <xf numFmtId="0" fontId="2" fillId="3" borderId="0" xfId="0" applyFont="1" applyFill="1"/>
    <xf numFmtId="0" fontId="0" fillId="2" borderId="0" xfId="0" quotePrefix="1" applyFill="1"/>
    <xf numFmtId="0" fontId="1" fillId="2" borderId="0" xfId="0" applyFont="1" applyFill="1"/>
    <xf numFmtId="14" fontId="0" fillId="2" borderId="0" xfId="0" applyNumberFormat="1" applyFill="1"/>
    <xf numFmtId="2" fontId="0" fillId="2" borderId="0" xfId="0" applyNumberFormat="1" applyFill="1"/>
    <xf numFmtId="1" fontId="0" fillId="0" borderId="0" xfId="0" applyNumberFormat="1"/>
    <xf numFmtId="0" fontId="0" fillId="3" borderId="0" xfId="0" applyFill="1" applyAlignment="1">
      <alignment vertical="top"/>
    </xf>
    <xf numFmtId="0" fontId="0" fillId="2" borderId="0" xfId="0" applyFill="1" applyAlignment="1">
      <alignment horizontal="left" vertical="top"/>
    </xf>
    <xf numFmtId="0" fontId="0" fillId="2" borderId="0" xfId="0" applyFill="1" applyAlignment="1">
      <alignment horizontal="left" vertical="top" wrapText="1"/>
    </xf>
    <xf numFmtId="0" fontId="3" fillId="2" borderId="0" xfId="0" applyFont="1" applyFill="1" applyAlignment="1">
      <alignment horizontal="left" vertical="top" wrapText="1"/>
    </xf>
    <xf numFmtId="0" fontId="4" fillId="0" borderId="0" xfId="0" applyFont="1" applyAlignment="1">
      <alignment horizontal="left" vertical="top" wrapText="1"/>
    </xf>
    <xf numFmtId="0" fontId="1" fillId="2" borderId="1" xfId="0" applyFont="1" applyFill="1" applyBorder="1" applyAlignment="1">
      <alignment horizontal="left" vertical="top" wrapText="1"/>
    </xf>
    <xf numFmtId="0" fontId="0" fillId="2" borderId="5" xfId="0" applyFill="1" applyBorder="1" applyAlignment="1">
      <alignment horizontal="left" vertical="top" wrapText="1"/>
    </xf>
    <xf numFmtId="0" fontId="0" fillId="2" borderId="2" xfId="0" applyFill="1" applyBorder="1" applyAlignment="1">
      <alignment horizontal="left" vertical="top" wrapText="1"/>
    </xf>
    <xf numFmtId="0" fontId="0" fillId="2" borderId="6" xfId="0" applyFill="1" applyBorder="1" applyAlignment="1">
      <alignment horizontal="left" vertical="top" wrapText="1"/>
    </xf>
    <xf numFmtId="0" fontId="0" fillId="2" borderId="8" xfId="0" applyFill="1" applyBorder="1" applyAlignment="1">
      <alignment horizontal="left" vertical="top" wrapText="1"/>
    </xf>
    <xf numFmtId="0" fontId="0" fillId="2" borderId="9" xfId="0" applyFill="1" applyBorder="1" applyAlignment="1">
      <alignment vertical="top"/>
    </xf>
    <xf numFmtId="0" fontId="0" fillId="2" borderId="15" xfId="0" applyFill="1" applyBorder="1" applyAlignment="1">
      <alignment vertical="top"/>
    </xf>
    <xf numFmtId="0" fontId="0" fillId="2" borderId="11" xfId="0" applyFill="1" applyBorder="1" applyAlignment="1">
      <alignment vertical="top"/>
    </xf>
    <xf numFmtId="0" fontId="1" fillId="2" borderId="11" xfId="0" applyFont="1" applyFill="1" applyBorder="1" applyAlignment="1">
      <alignment vertical="top"/>
    </xf>
    <xf numFmtId="0" fontId="1" fillId="2" borderId="13" xfId="0" applyFont="1" applyFill="1" applyBorder="1" applyAlignment="1">
      <alignment vertical="top"/>
    </xf>
    <xf numFmtId="0" fontId="0" fillId="2" borderId="0" xfId="0" applyFill="1" applyAlignment="1">
      <alignment vertical="top"/>
    </xf>
    <xf numFmtId="0" fontId="2" fillId="3" borderId="0" xfId="0" applyFont="1" applyFill="1" applyAlignment="1">
      <alignment horizontal="left" vertical="top"/>
    </xf>
    <xf numFmtId="0" fontId="0" fillId="4" borderId="0" xfId="0" applyFill="1" applyAlignment="1">
      <alignment horizontal="left" vertical="top" wrapText="1"/>
    </xf>
    <xf numFmtId="0" fontId="0" fillId="5" borderId="0" xfId="0" applyFill="1" applyAlignment="1">
      <alignment horizontal="left" vertical="top" wrapText="1"/>
    </xf>
    <xf numFmtId="0" fontId="1" fillId="2" borderId="1" xfId="0" applyFont="1" applyFill="1" applyBorder="1" applyAlignment="1">
      <alignment vertical="top"/>
    </xf>
    <xf numFmtId="0" fontId="0" fillId="4" borderId="3" xfId="0" applyFill="1" applyBorder="1" applyAlignment="1">
      <alignment horizontal="left" vertical="top" wrapText="1"/>
    </xf>
    <xf numFmtId="0" fontId="0" fillId="4" borderId="4" xfId="0" quotePrefix="1" applyFill="1" applyBorder="1" applyAlignment="1">
      <alignment horizontal="left" vertical="top" wrapText="1"/>
    </xf>
    <xf numFmtId="0" fontId="5" fillId="2" borderId="2" xfId="0" applyFont="1" applyFill="1" applyBorder="1" applyAlignment="1">
      <alignment horizontal="left" vertical="top"/>
    </xf>
    <xf numFmtId="0" fontId="0" fillId="2" borderId="4" xfId="0" applyFill="1" applyBorder="1" applyAlignment="1">
      <alignment horizontal="left" vertical="top" wrapText="1"/>
    </xf>
    <xf numFmtId="0" fontId="0" fillId="2" borderId="2" xfId="0" applyFill="1" applyBorder="1" applyAlignment="1">
      <alignment horizontal="left" vertical="top"/>
    </xf>
    <xf numFmtId="0" fontId="0" fillId="4" borderId="4" xfId="0" applyFill="1" applyBorder="1" applyAlignment="1">
      <alignment horizontal="left" vertical="top" wrapText="1"/>
    </xf>
    <xf numFmtId="0" fontId="0" fillId="4" borderId="7" xfId="0" applyFill="1" applyBorder="1" applyAlignment="1">
      <alignment horizontal="left" vertical="top" wrapText="1"/>
    </xf>
    <xf numFmtId="1" fontId="0" fillId="2" borderId="0" xfId="0" applyNumberFormat="1" applyFill="1" applyAlignment="1">
      <alignment horizontal="left" vertical="top" wrapText="1"/>
    </xf>
    <xf numFmtId="0" fontId="5" fillId="2" borderId="0" xfId="0" applyFont="1" applyFill="1" applyAlignment="1">
      <alignment vertical="top" wrapText="1"/>
    </xf>
    <xf numFmtId="165" fontId="0" fillId="2" borderId="0" xfId="0" applyNumberFormat="1" applyFill="1" applyAlignment="1">
      <alignment horizontal="left" vertical="top" wrapText="1"/>
    </xf>
    <xf numFmtId="11" fontId="0" fillId="2" borderId="0" xfId="0" applyNumberFormat="1" applyFill="1" applyAlignment="1">
      <alignment vertical="top"/>
    </xf>
    <xf numFmtId="0" fontId="5" fillId="2" borderId="0" xfId="0" applyFont="1" applyFill="1" applyAlignment="1">
      <alignment vertical="top"/>
    </xf>
    <xf numFmtId="0" fontId="0" fillId="3" borderId="10" xfId="0" applyFill="1" applyBorder="1" applyAlignment="1">
      <alignment vertical="top"/>
    </xf>
    <xf numFmtId="1" fontId="0" fillId="5" borderId="12" xfId="0" applyNumberFormat="1" applyFill="1" applyBorder="1" applyAlignment="1">
      <alignment vertical="top"/>
    </xf>
    <xf numFmtId="1" fontId="0" fillId="5" borderId="10" xfId="0" applyNumberFormat="1" applyFill="1" applyBorder="1" applyAlignment="1">
      <alignment vertical="top"/>
    </xf>
    <xf numFmtId="1" fontId="0" fillId="2" borderId="10" xfId="0" applyNumberFormat="1" applyFill="1" applyBorder="1" applyAlignment="1">
      <alignment vertical="top"/>
    </xf>
    <xf numFmtId="1" fontId="1" fillId="5" borderId="10" xfId="0" applyNumberFormat="1" applyFont="1" applyFill="1" applyBorder="1" applyAlignment="1">
      <alignment vertical="top"/>
    </xf>
    <xf numFmtId="1" fontId="1" fillId="5" borderId="14" xfId="0" applyNumberFormat="1" applyFont="1" applyFill="1" applyBorder="1" applyAlignment="1">
      <alignment vertical="top"/>
    </xf>
    <xf numFmtId="166" fontId="0" fillId="2" borderId="0" xfId="0" applyNumberFormat="1" applyFill="1"/>
    <xf numFmtId="0" fontId="1" fillId="2" borderId="0" xfId="0" quotePrefix="1" applyFont="1" applyFill="1"/>
    <xf numFmtId="0" fontId="0" fillId="3" borderId="0" xfId="0" applyFill="1" applyAlignment="1">
      <alignment vertical="top" wrapText="1"/>
    </xf>
    <xf numFmtId="0" fontId="1" fillId="2" borderId="1" xfId="0" applyFont="1" applyFill="1" applyBorder="1" applyAlignment="1">
      <alignment vertical="top" wrapText="1"/>
    </xf>
    <xf numFmtId="0" fontId="0" fillId="2" borderId="0" xfId="0" applyFill="1" applyAlignment="1">
      <alignment vertical="top" wrapText="1"/>
    </xf>
    <xf numFmtId="0" fontId="0" fillId="2" borderId="11" xfId="0" applyFill="1" applyBorder="1" applyAlignment="1">
      <alignment vertical="top" wrapText="1"/>
    </xf>
    <xf numFmtId="0" fontId="6" fillId="0" borderId="0" xfId="0" applyFont="1"/>
    <xf numFmtId="0" fontId="0" fillId="4" borderId="4" xfId="0" applyFill="1" applyBorder="1" applyAlignment="1">
      <alignment vertical="top" wrapText="1"/>
    </xf>
    <xf numFmtId="0" fontId="0" fillId="4" borderId="7" xfId="0" applyFill="1" applyBorder="1" applyAlignment="1">
      <alignment vertical="top" wrapText="1"/>
    </xf>
    <xf numFmtId="0" fontId="0" fillId="4" borderId="3" xfId="0" applyFill="1" applyBorder="1" applyAlignment="1">
      <alignment vertical="top" wrapText="1"/>
    </xf>
    <xf numFmtId="0" fontId="8" fillId="2" borderId="0" xfId="0" applyFont="1" applyFill="1" applyAlignment="1">
      <alignment horizontal="left" vertical="top" wrapText="1"/>
    </xf>
    <xf numFmtId="0" fontId="1" fillId="2" borderId="0" xfId="0" applyFont="1" applyFill="1" applyAlignment="1">
      <alignment vertical="top"/>
    </xf>
    <xf numFmtId="0" fontId="0" fillId="2" borderId="17" xfId="0" applyFill="1" applyBorder="1" applyAlignment="1">
      <alignment vertical="top" wrapText="1"/>
    </xf>
    <xf numFmtId="0" fontId="9" fillId="2" borderId="17" xfId="0" applyFont="1" applyFill="1" applyBorder="1" applyAlignment="1">
      <alignment vertical="top"/>
    </xf>
    <xf numFmtId="0" fontId="9" fillId="2" borderId="0" xfId="0" applyFont="1" applyFill="1" applyAlignment="1">
      <alignment vertical="top"/>
    </xf>
    <xf numFmtId="0" fontId="9" fillId="2" borderId="18" xfId="0" applyFont="1" applyFill="1" applyBorder="1" applyAlignment="1">
      <alignment vertical="top"/>
    </xf>
    <xf numFmtId="0" fontId="0" fillId="2" borderId="18" xfId="0" applyFill="1" applyBorder="1" applyAlignment="1">
      <alignment vertical="top" wrapText="1"/>
    </xf>
    <xf numFmtId="0" fontId="1" fillId="3" borderId="16" xfId="0" applyFont="1" applyFill="1" applyBorder="1" applyAlignment="1">
      <alignment vertical="top"/>
    </xf>
    <xf numFmtId="0" fontId="1" fillId="3" borderId="16" xfId="0" applyFont="1" applyFill="1" applyBorder="1" applyAlignment="1">
      <alignment vertical="top" wrapText="1"/>
    </xf>
    <xf numFmtId="0" fontId="5" fillId="2" borderId="0" xfId="0" applyFont="1" applyFill="1"/>
    <xf numFmtId="0" fontId="10" fillId="2" borderId="0" xfId="0" applyFont="1" applyFill="1" applyAlignment="1">
      <alignment vertical="top" wrapText="1"/>
    </xf>
    <xf numFmtId="167" fontId="0" fillId="0" borderId="0" xfId="0" applyNumberFormat="1"/>
    <xf numFmtId="2" fontId="0" fillId="2" borderId="0" xfId="0" applyNumberFormat="1" applyFill="1" applyAlignment="1">
      <alignment wrapText="1"/>
    </xf>
    <xf numFmtId="167" fontId="0" fillId="2" borderId="0" xfId="0" applyNumberFormat="1" applyFill="1" applyAlignment="1">
      <alignment wrapText="1"/>
    </xf>
    <xf numFmtId="1" fontId="0" fillId="2" borderId="0" xfId="0" applyNumberFormat="1" applyFill="1" applyAlignment="1">
      <alignment wrapText="1"/>
    </xf>
    <xf numFmtId="0" fontId="2" fillId="3" borderId="0" xfId="0" applyFont="1" applyFill="1" applyAlignment="1">
      <alignment horizontal="left" vertical="top"/>
    </xf>
    <xf numFmtId="0" fontId="0" fillId="3" borderId="0" xfId="0" applyFill="1" applyAlignment="1">
      <alignment vertical="top"/>
    </xf>
    <xf numFmtId="0" fontId="0" fillId="2" borderId="0" xfId="0" applyFill="1" applyAlignment="1">
      <alignment horizontal="left" vertical="top" wrapText="1"/>
    </xf>
    <xf numFmtId="0" fontId="5" fillId="2" borderId="0" xfId="0" applyFont="1" applyFill="1" applyAlignment="1">
      <alignment horizontal="left" vertical="top" wrapText="1"/>
    </xf>
    <xf numFmtId="0" fontId="0" fillId="2" borderId="0" xfId="0" applyFill="1" applyAlignment="1">
      <alignment vertical="top"/>
    </xf>
    <xf numFmtId="0" fontId="0" fillId="2" borderId="0" xfId="0" applyFill="1" applyAlignment="1">
      <alignment horizontal="left" wrapText="1"/>
    </xf>
    <xf numFmtId="0" fontId="0" fillId="2" borderId="0" xfId="0" applyFill="1" applyAlignment="1">
      <alignment wrapText="1"/>
    </xf>
    <xf numFmtId="0" fontId="2" fillId="3" borderId="0" xfId="0" applyFont="1" applyFill="1" applyAlignment="1">
      <alignment horizontal="left"/>
    </xf>
    <xf numFmtId="0" fontId="0" fillId="3" borderId="0" xfId="0" applyFill="1"/>
    <xf numFmtId="0" fontId="0" fillId="2" borderId="0" xfId="0" applyFill="1" applyAlignment="1">
      <alignment horizontal="left"/>
    </xf>
    <xf numFmtId="0" fontId="0" fillId="2" borderId="0" xfId="0" applyFill="1"/>
  </cellXfs>
  <cellStyles count="1">
    <cellStyle name="Normal" xfId="0" builtinId="0"/>
  </cellStyles>
  <dxfs count="0"/>
  <tableStyles count="0" defaultTableStyle="TableStyleMedium2" defaultPivotStyle="PivotStyleLight16"/>
  <colors>
    <mruColors>
      <color rgb="FFECC1ED"/>
      <color rgb="FFEF92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139700</xdr:colOff>
          <xdr:row>40</xdr:row>
          <xdr:rowOff>12700</xdr:rowOff>
        </xdr:from>
        <xdr:to>
          <xdr:col>3</xdr:col>
          <xdr:colOff>1663700</xdr:colOff>
          <xdr:row>41</xdr:row>
          <xdr:rowOff>190500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Calculate Emissions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3" xr16:uid="{E767096F-949A-2141-9DAA-5F489086AF68}" autoFormatId="16" applyNumberFormats="0" applyBorderFormats="0" applyFontFormats="0" applyPatternFormats="0" applyAlignmentFormats="0" applyWidthHeightFormats="0">
  <queryTableRefresh nextId="5">
    <queryTableFields count="4">
      <queryTableField id="1" name="Column1" tableColumnId="1"/>
      <queryTableField id="2" name="Variable road freight emissions" tableColumnId="2"/>
      <queryTableField id="3" name="Variable air freight emissions" tableColumnId="3"/>
      <queryTableField id="4" name="Repositioning/Provisioning emissions"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792CDB-8ED7-5844-B2D6-5DE84409B99B}" name="Sheet1__3" displayName="Sheet1__3" ref="A1:D2" tableType="queryTable" totalsRowShown="0">
  <autoFilter ref="A1:D2" xr:uid="{E1792CDB-8ED7-5844-B2D6-5DE84409B99B}"/>
  <tableColumns count="4">
    <tableColumn id="1" xr3:uid="{362D3B9A-86F9-4B41-A823-843E5562A839}" uniqueName="1" name="Column1" queryTableFieldId="1"/>
    <tableColumn id="2" xr3:uid="{F612563B-CA76-9B4B-ABF8-80D12F715690}" uniqueName="2" name="Variable road freight emissions" queryTableFieldId="2"/>
    <tableColumn id="3" xr3:uid="{35EF1295-E869-1345-B4D5-B0D10EE7FB29}" uniqueName="3" name="Variable air freight emissions" queryTableFieldId="3"/>
    <tableColumn id="4" xr3:uid="{5B3516B5-BDE3-E644-A6EF-99449CB8E997}" uniqueName="4" name="Repositioning/Provisioning emissions" queryTableField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79998168889431442"/>
  </sheetPr>
  <dimension ref="A1:K21"/>
  <sheetViews>
    <sheetView zoomScaleNormal="100" workbookViewId="0">
      <pane xSplit="1" ySplit="7" topLeftCell="B8" activePane="bottomRight" state="frozen"/>
      <selection pane="topRight" activeCell="B1" sqref="B1"/>
      <selection pane="bottomLeft" activeCell="A8" sqref="A8"/>
      <selection pane="bottomRight" activeCell="I8" sqref="I8"/>
    </sheetView>
  </sheetViews>
  <sheetFormatPr baseColWidth="10" defaultRowHeight="16" x14ac:dyDescent="0.2"/>
  <cols>
    <col min="1" max="1" width="10.83203125" style="20" customWidth="1"/>
    <col min="2" max="2" width="28.33203125" style="35" bestFit="1" customWidth="1"/>
    <col min="3" max="3" width="78.33203125" style="62" customWidth="1"/>
    <col min="4" max="4" width="10.83203125" style="35" customWidth="1"/>
    <col min="5" max="16384" width="10.83203125" style="35"/>
  </cols>
  <sheetData>
    <row r="1" spans="2:11" s="20" customFormat="1" x14ac:dyDescent="0.2">
      <c r="C1" s="60"/>
    </row>
    <row r="2" spans="2:11" s="20" customFormat="1" ht="21" customHeight="1" x14ac:dyDescent="0.2">
      <c r="B2" s="83" t="s">
        <v>181</v>
      </c>
      <c r="C2" s="84"/>
      <c r="D2" s="84"/>
      <c r="E2" s="84"/>
      <c r="F2" s="84"/>
      <c r="G2" s="84"/>
    </row>
    <row r="3" spans="2:11" ht="32" customHeight="1" x14ac:dyDescent="0.2">
      <c r="B3" s="85" t="s">
        <v>228</v>
      </c>
      <c r="C3" s="85"/>
      <c r="D3" s="78"/>
      <c r="E3" s="78"/>
      <c r="F3" s="78"/>
      <c r="G3" s="78"/>
      <c r="H3" s="78"/>
      <c r="I3" s="78"/>
      <c r="J3" s="78"/>
      <c r="K3" s="78"/>
    </row>
    <row r="4" spans="2:11" x14ac:dyDescent="0.2">
      <c r="B4" s="68"/>
      <c r="C4" s="68"/>
      <c r="D4" s="68"/>
      <c r="E4" s="68"/>
      <c r="F4" s="68"/>
      <c r="G4" s="68"/>
      <c r="H4" s="68"/>
      <c r="I4" s="68"/>
      <c r="J4" s="68"/>
      <c r="K4" s="68"/>
    </row>
    <row r="5" spans="2:11" x14ac:dyDescent="0.2">
      <c r="B5" s="69" t="s">
        <v>182</v>
      </c>
    </row>
    <row r="6" spans="2:11" ht="6" customHeight="1" x14ac:dyDescent="0.2">
      <c r="B6" s="69"/>
    </row>
    <row r="7" spans="2:11" ht="17" x14ac:dyDescent="0.2">
      <c r="B7" s="75" t="s">
        <v>183</v>
      </c>
      <c r="C7" s="76" t="s">
        <v>0</v>
      </c>
    </row>
    <row r="8" spans="2:11" ht="136" x14ac:dyDescent="0.2">
      <c r="B8" s="71" t="s">
        <v>184</v>
      </c>
      <c r="C8" s="70" t="s">
        <v>227</v>
      </c>
    </row>
    <row r="9" spans="2:11" ht="51" x14ac:dyDescent="0.2">
      <c r="B9" s="73" t="s">
        <v>7</v>
      </c>
      <c r="C9" s="74" t="s">
        <v>185</v>
      </c>
    </row>
    <row r="10" spans="2:11" ht="68" x14ac:dyDescent="0.2">
      <c r="B10" s="72" t="s">
        <v>187</v>
      </c>
      <c r="C10" s="62" t="s">
        <v>229</v>
      </c>
    </row>
    <row r="11" spans="2:11" ht="51" x14ac:dyDescent="0.2">
      <c r="B11" s="73" t="s">
        <v>60</v>
      </c>
      <c r="C11" s="74" t="s">
        <v>190</v>
      </c>
    </row>
    <row r="12" spans="2:11" ht="51" x14ac:dyDescent="0.2">
      <c r="B12" s="73" t="s">
        <v>92</v>
      </c>
      <c r="C12" s="74" t="s">
        <v>199</v>
      </c>
    </row>
    <row r="13" spans="2:11" ht="24" customHeight="1" x14ac:dyDescent="0.2">
      <c r="B13" s="73"/>
      <c r="C13" s="74"/>
    </row>
    <row r="14" spans="2:11" ht="34" x14ac:dyDescent="0.2">
      <c r="B14" s="73" t="s">
        <v>202</v>
      </c>
      <c r="C14" s="74" t="s">
        <v>203</v>
      </c>
    </row>
    <row r="15" spans="2:11" ht="26" customHeight="1" x14ac:dyDescent="0.2">
      <c r="B15" s="73"/>
      <c r="C15" s="74"/>
    </row>
    <row r="16" spans="2:11" ht="51" x14ac:dyDescent="0.2">
      <c r="B16" s="73" t="s">
        <v>197</v>
      </c>
      <c r="C16" s="74" t="s">
        <v>198</v>
      </c>
    </row>
    <row r="17" spans="2:3" ht="51" x14ac:dyDescent="0.2">
      <c r="B17" s="73" t="s">
        <v>200</v>
      </c>
      <c r="C17" s="74" t="s">
        <v>206</v>
      </c>
    </row>
    <row r="18" spans="2:3" ht="34" x14ac:dyDescent="0.2">
      <c r="B18" s="73" t="s">
        <v>201</v>
      </c>
      <c r="C18" s="74" t="s">
        <v>207</v>
      </c>
    </row>
    <row r="19" spans="2:3" ht="51" x14ac:dyDescent="0.2">
      <c r="B19" s="72" t="s">
        <v>204</v>
      </c>
      <c r="C19" s="74" t="s">
        <v>205</v>
      </c>
    </row>
    <row r="20" spans="2:3" ht="34" x14ac:dyDescent="0.2">
      <c r="B20" s="73" t="s">
        <v>208</v>
      </c>
      <c r="C20" s="74" t="s">
        <v>217</v>
      </c>
    </row>
    <row r="21" spans="2:3" x14ac:dyDescent="0.2">
      <c r="B21" s="72"/>
    </row>
  </sheetData>
  <autoFilter ref="B2:G5" xr:uid="{00000000-0001-0000-0000-000000000000}">
    <filterColumn colId="0" showButton="0"/>
    <filterColumn colId="1" showButton="0"/>
    <filterColumn colId="2" showButton="0"/>
    <filterColumn colId="3" showButton="0"/>
    <filterColumn colId="4" showButton="0"/>
  </autoFilter>
  <mergeCells count="2">
    <mergeCell ref="B2:G2"/>
    <mergeCell ref="B3:C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theme="9" tint="0.79998168889431442"/>
  </sheetPr>
  <dimension ref="A1:G55"/>
  <sheetViews>
    <sheetView tabSelected="1" zoomScaleNormal="100" workbookViewId="0">
      <pane xSplit="1" ySplit="2" topLeftCell="B3" activePane="bottomRight" state="frozen"/>
      <selection pane="topRight" activeCell="B1" sqref="B1"/>
      <selection pane="bottomLeft" activeCell="A3" sqref="A3"/>
      <selection pane="bottomRight" activeCell="H17" sqref="H17"/>
    </sheetView>
  </sheetViews>
  <sheetFormatPr baseColWidth="10" defaultRowHeight="16" x14ac:dyDescent="0.2"/>
  <cols>
    <col min="1" max="1" width="10.83203125" style="20" customWidth="1"/>
    <col min="2" max="2" width="41.83203125" style="35" customWidth="1"/>
    <col min="3" max="3" width="17" style="35" customWidth="1"/>
    <col min="4" max="4" width="29.83203125" style="35" customWidth="1"/>
    <col min="5" max="6" width="17" style="35" customWidth="1"/>
    <col min="7" max="7" width="14.1640625" style="35" customWidth="1"/>
    <col min="8" max="8" width="61.83203125" style="35" bestFit="1" customWidth="1"/>
    <col min="9" max="9" width="16.83203125" style="35" bestFit="1" customWidth="1"/>
    <col min="10" max="11" width="10.83203125" style="35" customWidth="1"/>
    <col min="12" max="16384" width="10.83203125" style="35"/>
  </cols>
  <sheetData>
    <row r="1" spans="2:6" s="20" customFormat="1" x14ac:dyDescent="0.2"/>
    <row r="2" spans="2:6" s="20" customFormat="1" ht="21" customHeight="1" x14ac:dyDescent="0.2">
      <c r="B2" s="83" t="s">
        <v>1</v>
      </c>
      <c r="C2" s="84"/>
      <c r="D2" s="84"/>
      <c r="E2" s="84"/>
      <c r="F2" s="36"/>
    </row>
    <row r="3" spans="2:6" ht="16" customHeight="1" x14ac:dyDescent="0.2">
      <c r="B3" s="21" t="s">
        <v>2</v>
      </c>
      <c r="C3" s="22"/>
      <c r="D3" s="22"/>
      <c r="E3" s="21"/>
      <c r="F3" s="21"/>
    </row>
    <row r="4" spans="2:6" x14ac:dyDescent="0.2">
      <c r="B4" s="22"/>
      <c r="C4" s="22"/>
      <c r="D4" s="22"/>
    </row>
    <row r="5" spans="2:6" ht="17" customHeight="1" x14ac:dyDescent="0.2">
      <c r="B5" s="23" t="s">
        <v>3</v>
      </c>
      <c r="C5" s="37" t="s">
        <v>4</v>
      </c>
      <c r="D5" s="22"/>
    </row>
    <row r="6" spans="2:6" ht="17" customHeight="1" x14ac:dyDescent="0.2">
      <c r="B6" s="24" t="s">
        <v>5</v>
      </c>
      <c r="C6" s="38" t="s">
        <v>6</v>
      </c>
      <c r="D6" s="22"/>
    </row>
    <row r="7" spans="2:6" x14ac:dyDescent="0.2">
      <c r="B7" s="22"/>
      <c r="C7" s="22"/>
      <c r="D7" s="22"/>
    </row>
    <row r="8" spans="2:6" ht="18" customHeight="1" thickBot="1" x14ac:dyDescent="0.25">
      <c r="B8" s="25" t="s">
        <v>7</v>
      </c>
      <c r="C8" s="25"/>
      <c r="D8" s="25"/>
      <c r="E8" s="39"/>
      <c r="F8" s="39"/>
    </row>
    <row r="9" spans="2:6" x14ac:dyDescent="0.2">
      <c r="B9" s="23"/>
      <c r="C9" s="22"/>
      <c r="D9" s="22"/>
    </row>
    <row r="10" spans="2:6" ht="17" customHeight="1" x14ac:dyDescent="0.2">
      <c r="B10" s="26" t="s">
        <v>8</v>
      </c>
      <c r="C10" s="40" t="s">
        <v>219</v>
      </c>
    </row>
    <row r="11" spans="2:6" ht="17" customHeight="1" x14ac:dyDescent="0.2">
      <c r="B11" s="27" t="s">
        <v>9</v>
      </c>
      <c r="C11" s="41" t="s">
        <v>10</v>
      </c>
      <c r="D11" s="42" t="s">
        <v>11</v>
      </c>
    </row>
    <row r="12" spans="2:6" x14ac:dyDescent="0.2">
      <c r="B12" s="27"/>
      <c r="C12" s="43"/>
      <c r="D12" s="44"/>
    </row>
    <row r="13" spans="2:6" ht="17" customHeight="1" x14ac:dyDescent="0.2">
      <c r="B13" s="27" t="s">
        <v>12</v>
      </c>
      <c r="C13" s="45">
        <v>2</v>
      </c>
      <c r="D13" s="42"/>
    </row>
    <row r="14" spans="2:6" ht="17" customHeight="1" x14ac:dyDescent="0.2">
      <c r="B14" s="28" t="s">
        <v>13</v>
      </c>
      <c r="C14" s="46">
        <v>500</v>
      </c>
      <c r="D14" s="27"/>
    </row>
    <row r="15" spans="2:6" x14ac:dyDescent="0.2">
      <c r="B15" s="29"/>
      <c r="C15" s="22"/>
      <c r="D15" s="22"/>
    </row>
    <row r="16" spans="2:6" ht="17" customHeight="1" x14ac:dyDescent="0.2">
      <c r="B16" s="22" t="s">
        <v>14</v>
      </c>
      <c r="C16" s="47">
        <f>CEILING(C13/VLOOKUP(C10,'Container Data'!B5:M97,4,FALSE),1)</f>
        <v>2</v>
      </c>
      <c r="E16" s="48"/>
      <c r="F16" s="48"/>
    </row>
    <row r="17" spans="2:7" ht="17" customHeight="1" x14ac:dyDescent="0.2">
      <c r="B17" s="22" t="s">
        <v>15</v>
      </c>
      <c r="C17" s="47">
        <f>$C$14 + $C$16*VLOOKUP($C$10,'Container Data'!B6:M97,6,FALSE)</f>
        <v>1300</v>
      </c>
      <c r="D17" s="86" t="s">
        <v>222</v>
      </c>
      <c r="E17" s="87"/>
      <c r="F17" s="87"/>
    </row>
    <row r="18" spans="2:7" ht="17" customHeight="1" x14ac:dyDescent="0.2">
      <c r="B18" s="22" t="s">
        <v>16</v>
      </c>
      <c r="C18" s="49">
        <f>C16*VLOOKUP(C10,'Container Data'!B6:M27,2,FALSE)</f>
        <v>6</v>
      </c>
      <c r="D18" s="87"/>
      <c r="E18" s="87"/>
      <c r="F18" s="87"/>
    </row>
    <row r="19" spans="2:7" x14ac:dyDescent="0.2">
      <c r="B19" s="22"/>
      <c r="C19" s="22"/>
      <c r="D19" s="22"/>
    </row>
    <row r="20" spans="2:7" x14ac:dyDescent="0.2">
      <c r="B20" s="22"/>
      <c r="C20" s="22"/>
      <c r="D20" s="22"/>
      <c r="G20" s="50"/>
    </row>
    <row r="21" spans="2:7" ht="18" customHeight="1" thickBot="1" x14ac:dyDescent="0.25">
      <c r="B21" s="25" t="s">
        <v>17</v>
      </c>
      <c r="C21" s="25"/>
      <c r="D21" s="25"/>
      <c r="E21" s="39"/>
      <c r="F21" s="39"/>
    </row>
    <row r="23" spans="2:7" ht="17" customHeight="1" x14ac:dyDescent="0.2">
      <c r="B23" s="26" t="s">
        <v>18</v>
      </c>
      <c r="C23" s="29" t="s">
        <v>19</v>
      </c>
      <c r="D23" s="40" t="s">
        <v>20</v>
      </c>
    </row>
    <row r="24" spans="2:7" ht="17" customHeight="1" x14ac:dyDescent="0.2">
      <c r="B24" s="27" t="s">
        <v>21</v>
      </c>
      <c r="C24" s="22" t="s">
        <v>22</v>
      </c>
      <c r="D24" s="45" t="s">
        <v>23</v>
      </c>
    </row>
    <row r="25" spans="2:7" ht="17" customHeight="1" x14ac:dyDescent="0.2">
      <c r="B25" s="27" t="s">
        <v>24</v>
      </c>
      <c r="C25" s="22" t="s">
        <v>25</v>
      </c>
      <c r="D25" s="45" t="s">
        <v>26</v>
      </c>
    </row>
    <row r="26" spans="2:7" ht="17" customHeight="1" x14ac:dyDescent="0.2">
      <c r="B26" s="27" t="s">
        <v>27</v>
      </c>
      <c r="C26" s="22" t="s">
        <v>25</v>
      </c>
      <c r="D26" s="45" t="s">
        <v>28</v>
      </c>
    </row>
    <row r="27" spans="2:7" ht="17" customHeight="1" x14ac:dyDescent="0.2">
      <c r="B27" s="27" t="s">
        <v>29</v>
      </c>
      <c r="C27" s="22" t="s">
        <v>22</v>
      </c>
      <c r="D27" s="45" t="s">
        <v>30</v>
      </c>
    </row>
    <row r="28" spans="2:7" ht="17" customHeight="1" x14ac:dyDescent="0.2">
      <c r="B28" s="28" t="s">
        <v>31</v>
      </c>
      <c r="C28" s="22" t="s">
        <v>19</v>
      </c>
      <c r="D28" s="46" t="s">
        <v>32</v>
      </c>
    </row>
    <row r="29" spans="2:7" x14ac:dyDescent="0.2">
      <c r="B29" s="22"/>
      <c r="C29" s="29"/>
    </row>
    <row r="31" spans="2:7" ht="18" customHeight="1" thickBot="1" x14ac:dyDescent="0.25">
      <c r="B31" s="25" t="s">
        <v>33</v>
      </c>
      <c r="C31" s="25"/>
      <c r="D31" s="25"/>
      <c r="E31" s="39"/>
      <c r="F31" s="39"/>
    </row>
    <row r="33" spans="1:6" ht="17" customHeight="1" x14ac:dyDescent="0.2">
      <c r="B33" s="26" t="s">
        <v>34</v>
      </c>
      <c r="C33" s="67" t="s">
        <v>173</v>
      </c>
    </row>
    <row r="34" spans="1:6" ht="17" customHeight="1" x14ac:dyDescent="0.15">
      <c r="B34" s="27" t="s">
        <v>128</v>
      </c>
      <c r="C34" s="65" t="s">
        <v>172</v>
      </c>
      <c r="D34" s="77" t="s">
        <v>180</v>
      </c>
    </row>
    <row r="35" spans="1:6" ht="17" customHeight="1" x14ac:dyDescent="0.15">
      <c r="B35" s="27" t="s">
        <v>35</v>
      </c>
      <c r="C35" s="65">
        <v>65</v>
      </c>
      <c r="D35" s="77" t="s">
        <v>195</v>
      </c>
      <c r="E35" s="51"/>
      <c r="F35" s="51"/>
    </row>
    <row r="36" spans="1:6" ht="17" customHeight="1" x14ac:dyDescent="0.15">
      <c r="B36" s="28" t="s">
        <v>36</v>
      </c>
      <c r="C36" s="66">
        <v>75</v>
      </c>
      <c r="D36" s="77" t="s">
        <v>196</v>
      </c>
      <c r="E36" s="51"/>
      <c r="F36" s="51"/>
    </row>
    <row r="39" spans="1:6" ht="18" customHeight="1" thickBot="1" x14ac:dyDescent="0.25">
      <c r="B39" s="25" t="s">
        <v>37</v>
      </c>
      <c r="C39" s="25"/>
      <c r="D39" s="25"/>
      <c r="E39" s="39"/>
      <c r="F39" s="39"/>
    </row>
    <row r="40" spans="1:6" x14ac:dyDescent="0.2">
      <c r="B40" s="30"/>
      <c r="C40" s="30"/>
    </row>
    <row r="41" spans="1:6" x14ac:dyDescent="0.2">
      <c r="A41" s="52"/>
      <c r="B41" s="31" t="s">
        <v>38</v>
      </c>
      <c r="C41" s="53">
        <f>$C$16*VLOOKUP(C10,'Container Data'!B5:M97,12,FALSE)</f>
        <v>200</v>
      </c>
    </row>
    <row r="42" spans="1:6" x14ac:dyDescent="0.2">
      <c r="A42" s="52"/>
      <c r="B42" s="32" t="s">
        <v>39</v>
      </c>
      <c r="C42" s="54">
        <f>$C$16*VLOOKUP($C$10&amp;$C$11&amp;VLOOKUP($D$23,'Location Data'!$C$6:$E$106,2,FALSE),'Preconditioning Data'!$E$5:$F$100,2,FALSE)</f>
        <v>20</v>
      </c>
    </row>
    <row r="43" spans="1:6" x14ac:dyDescent="0.2">
      <c r="A43" s="52"/>
      <c r="B43" s="32"/>
      <c r="C43" s="54"/>
    </row>
    <row r="44" spans="1:6" x14ac:dyDescent="0.2">
      <c r="A44" s="52"/>
      <c r="B44" s="32" t="s">
        <v>101</v>
      </c>
      <c r="C44" s="54" cm="1">
        <f t="array" ref="C44">Sheet1__3[Variable air freight emissions]</f>
        <v>6130.46</v>
      </c>
    </row>
    <row r="45" spans="1:6" x14ac:dyDescent="0.2">
      <c r="A45" s="52"/>
      <c r="B45" s="32" t="s">
        <v>100</v>
      </c>
      <c r="C45" s="54" cm="1">
        <f t="array" ref="C45">Sheet1__3[Variable road freight emissions]</f>
        <v>27.04</v>
      </c>
    </row>
    <row r="46" spans="1:6" ht="17" x14ac:dyDescent="0.2">
      <c r="A46" s="52"/>
      <c r="B46" s="63" t="s">
        <v>218</v>
      </c>
      <c r="C46" s="54" cm="1">
        <f t="array" ref="C46">Sheet1__3[Repositioning/Provisioning emissions]</f>
        <v>0</v>
      </c>
    </row>
    <row r="47" spans="1:6" x14ac:dyDescent="0.2">
      <c r="A47" s="52"/>
      <c r="B47" s="32"/>
      <c r="C47" s="55"/>
    </row>
    <row r="48" spans="1:6" x14ac:dyDescent="0.2">
      <c r="A48" s="52"/>
      <c r="B48" s="32" t="s">
        <v>40</v>
      </c>
      <c r="C48" s="54">
        <f>SUM(C41:C46)</f>
        <v>6377.5</v>
      </c>
    </row>
    <row r="49" spans="2:4" x14ac:dyDescent="0.2">
      <c r="B49" s="33" t="s">
        <v>41</v>
      </c>
      <c r="C49" s="56">
        <f>C48*VLOOKUP(C10,'Container Data'!B6:M27,8,FALSE)</f>
        <v>6383.8838838838847</v>
      </c>
    </row>
    <row r="50" spans="2:4" x14ac:dyDescent="0.2">
      <c r="B50" s="33" t="s">
        <v>178</v>
      </c>
      <c r="C50" s="56">
        <f>C49/C14</f>
        <v>12.767767767767769</v>
      </c>
    </row>
    <row r="51" spans="2:4" x14ac:dyDescent="0.2">
      <c r="B51" s="34" t="s">
        <v>42</v>
      </c>
      <c r="C51" s="57">
        <f>C49/C13</f>
        <v>3191.9419419419423</v>
      </c>
    </row>
    <row r="52" spans="2:4" x14ac:dyDescent="0.2">
      <c r="D52" s="62"/>
    </row>
    <row r="55" spans="2:4" x14ac:dyDescent="0.2">
      <c r="D55" s="62"/>
    </row>
  </sheetData>
  <mergeCells count="2">
    <mergeCell ref="B2:E2"/>
    <mergeCell ref="D17:F18"/>
  </mergeCells>
  <dataValidations count="2">
    <dataValidation type="list" allowBlank="1" showInputMessage="1" showErrorMessage="1" sqref="D23:D28" xr:uid="{00000000-0002-0000-0100-000000000000}">
      <formula1>INDIRECT(C23)</formula1>
    </dataValidation>
    <dataValidation type="list" allowBlank="1" showInputMessage="1" showErrorMessage="1" sqref="C33" xr:uid="{0027AE05-884C-EF43-B704-9F28193C4801}">
      <formula1>"Freight aircraft, Belly freight - cargo"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0" r:id="rId3" name="Button 6">
              <controlPr defaultSize="0" print="0" autoFill="0" autoPict="0" macro="[0]!RunCO2CalculationPythonScript">
                <anchor moveWithCells="1" sizeWithCells="1">
                  <from>
                    <xdr:col>3</xdr:col>
                    <xdr:colOff>139700</xdr:colOff>
                    <xdr:row>40</xdr:row>
                    <xdr:rowOff>12700</xdr:rowOff>
                  </from>
                  <to>
                    <xdr:col>3</xdr:col>
                    <xdr:colOff>1663700</xdr:colOff>
                    <xdr:row>41</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'Filtered Input Data'!$H$6:$H$100</xm:f>
          </x14:formula1>
          <xm:sqref>C34</xm:sqref>
        </x14:dataValidation>
        <x14:dataValidation type="list" allowBlank="1" showInputMessage="1" showErrorMessage="1" xr:uid="{E461F3E8-0B09-6145-8B76-2601B7324963}">
          <x14:formula1>
            <xm:f>'Container Data'!$B$6:$B$32</xm:f>
          </x14:formula1>
          <xm:sqref>C10</xm:sqref>
        </x14:dataValidation>
        <x14:dataValidation type="list" allowBlank="1" showInputMessage="1" showErrorMessage="1" xr:uid="{6C1A92EC-1C79-9F41-B62F-B234F6686A94}">
          <x14:formula1>
            <xm:f>'Filtered Input Data'!$G$7:$G$100</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3" tint="0.79998168889431442"/>
  </sheetPr>
  <dimension ref="A1:M9"/>
  <sheetViews>
    <sheetView zoomScaleNormal="100" workbookViewId="0">
      <pane xSplit="2" ySplit="5" topLeftCell="C6" activePane="bottomRight" state="frozen"/>
      <selection pane="topRight" activeCell="C1" sqref="C1"/>
      <selection pane="bottomLeft" activeCell="A6" sqref="A6"/>
      <selection pane="bottomRight" activeCell="B9" sqref="B9"/>
    </sheetView>
  </sheetViews>
  <sheetFormatPr baseColWidth="10" defaultRowHeight="16" x14ac:dyDescent="0.2"/>
  <cols>
    <col min="1" max="1" width="10.83203125" style="10" customWidth="1"/>
    <col min="2" max="2" width="17.6640625" style="1" bestFit="1" customWidth="1"/>
    <col min="3" max="7" width="15.5" style="4" customWidth="1"/>
    <col min="8" max="8" width="19.6640625" style="4" customWidth="1"/>
    <col min="9" max="9" width="15.5" style="4" customWidth="1"/>
    <col min="10" max="10" width="22.6640625" style="4" customWidth="1"/>
    <col min="11" max="11" width="31.1640625" style="4" customWidth="1"/>
    <col min="12" max="12" width="34.33203125" style="4" customWidth="1"/>
    <col min="13" max="13" width="36.33203125" style="4" customWidth="1"/>
    <col min="14" max="15" width="10.83203125" style="1" customWidth="1"/>
    <col min="16" max="16384" width="10.83203125" style="1"/>
  </cols>
  <sheetData>
    <row r="1" spans="1:13" s="10" customFormat="1" x14ac:dyDescent="0.2">
      <c r="C1" s="11"/>
      <c r="D1" s="11"/>
      <c r="E1" s="11"/>
      <c r="F1" s="11"/>
      <c r="G1" s="11"/>
      <c r="H1" s="11"/>
      <c r="I1" s="11"/>
      <c r="J1" s="11"/>
      <c r="K1" s="11"/>
      <c r="L1" s="11"/>
      <c r="M1" s="11"/>
    </row>
    <row r="2" spans="1:13" s="10" customFormat="1" ht="21" customHeight="1" x14ac:dyDescent="0.25">
      <c r="B2" s="90" t="s">
        <v>43</v>
      </c>
      <c r="C2" s="91"/>
      <c r="D2" s="91"/>
      <c r="E2" s="91"/>
      <c r="F2" s="11"/>
      <c r="G2" s="11"/>
      <c r="H2" s="11"/>
      <c r="I2" s="11"/>
      <c r="J2" s="11"/>
      <c r="K2" s="12"/>
      <c r="L2" s="11"/>
      <c r="M2" s="11"/>
    </row>
    <row r="3" spans="1:13" ht="34" customHeight="1" x14ac:dyDescent="0.2">
      <c r="B3" s="88" t="s">
        <v>186</v>
      </c>
      <c r="C3" s="89"/>
      <c r="D3" s="89"/>
      <c r="E3" s="89"/>
      <c r="F3" s="89"/>
      <c r="G3" s="89"/>
      <c r="H3" s="89"/>
    </row>
    <row r="4" spans="1:13" x14ac:dyDescent="0.2">
      <c r="B4" s="8"/>
      <c r="C4" s="3"/>
      <c r="D4" s="3"/>
      <c r="E4" s="3"/>
      <c r="F4" s="3"/>
      <c r="G4" s="3"/>
      <c r="H4" s="3"/>
    </row>
    <row r="5" spans="1:13" s="8" customFormat="1" ht="49" customHeight="1" thickBot="1" x14ac:dyDescent="0.25">
      <c r="A5" s="13"/>
      <c r="B5" s="6" t="s">
        <v>44</v>
      </c>
      <c r="C5" s="7" t="s">
        <v>45</v>
      </c>
      <c r="D5" s="7" t="s">
        <v>221</v>
      </c>
      <c r="E5" s="7" t="s">
        <v>46</v>
      </c>
      <c r="F5" s="7" t="s">
        <v>47</v>
      </c>
      <c r="G5" s="7" t="s">
        <v>48</v>
      </c>
      <c r="H5" s="7" t="s">
        <v>49</v>
      </c>
      <c r="I5" s="7" t="s">
        <v>50</v>
      </c>
      <c r="J5" s="7" t="s">
        <v>51</v>
      </c>
      <c r="K5" s="7" t="s">
        <v>52</v>
      </c>
      <c r="L5" s="7" t="s">
        <v>53</v>
      </c>
      <c r="M5" s="7" t="s">
        <v>54</v>
      </c>
    </row>
    <row r="6" spans="1:13" ht="17" customHeight="1" x14ac:dyDescent="0.2">
      <c r="B6" s="1" t="s">
        <v>219</v>
      </c>
      <c r="C6" s="80">
        <v>3</v>
      </c>
      <c r="D6" s="80">
        <v>2</v>
      </c>
      <c r="E6" s="80">
        <v>1.5</v>
      </c>
      <c r="F6" s="80">
        <v>1</v>
      </c>
      <c r="G6" s="4">
        <v>400</v>
      </c>
      <c r="H6" s="4">
        <v>100</v>
      </c>
      <c r="I6" s="9">
        <f t="shared" ref="I6" si="0">1/J6</f>
        <v>1.0010010010010011</v>
      </c>
      <c r="J6" s="4">
        <v>0.999</v>
      </c>
      <c r="K6" s="81">
        <f>F6*H6*L6</f>
        <v>10</v>
      </c>
      <c r="L6" s="81">
        <v>0.1</v>
      </c>
      <c r="M6" s="82">
        <f>K6/H6*1000</f>
        <v>100</v>
      </c>
    </row>
    <row r="7" spans="1:13" ht="17" customHeight="1" x14ac:dyDescent="0.2">
      <c r="B7" s="1" t="s">
        <v>225</v>
      </c>
      <c r="C7" s="80">
        <v>2.7</v>
      </c>
      <c r="D7" s="80">
        <v>1.66</v>
      </c>
      <c r="E7" s="80">
        <v>1.66</v>
      </c>
      <c r="F7" s="80">
        <v>1.1599999999999999</v>
      </c>
      <c r="G7" s="4">
        <v>379</v>
      </c>
      <c r="H7" s="4">
        <v>100</v>
      </c>
      <c r="I7" s="9">
        <f t="shared" ref="I7:I8" si="1">1/J7</f>
        <v>1.0010010010010011</v>
      </c>
      <c r="J7" s="4">
        <v>0.999</v>
      </c>
      <c r="K7" s="81">
        <f>F7*H7*L7</f>
        <v>3.2479999999999998</v>
      </c>
      <c r="L7" s="81">
        <f>0.025+0.003</f>
        <v>2.8000000000000001E-2</v>
      </c>
      <c r="M7" s="82">
        <f t="shared" ref="M7" si="2">K7/H7*1000</f>
        <v>32.479999999999997</v>
      </c>
    </row>
    <row r="8" spans="1:13" ht="17" customHeight="1" x14ac:dyDescent="0.2">
      <c r="B8" s="1" t="s">
        <v>224</v>
      </c>
      <c r="C8" s="80">
        <v>4.8</v>
      </c>
      <c r="D8" s="80">
        <v>2.2999999999999998</v>
      </c>
      <c r="E8" s="80">
        <v>2.2999999999999998</v>
      </c>
      <c r="F8" s="80">
        <v>0.83</v>
      </c>
      <c r="G8" s="4">
        <v>635</v>
      </c>
      <c r="H8" s="4">
        <v>100</v>
      </c>
      <c r="I8" s="9">
        <f t="shared" si="1"/>
        <v>1.0010010010010011</v>
      </c>
      <c r="J8" s="4">
        <v>0.999</v>
      </c>
      <c r="K8" s="81">
        <f>F8*H8*L8</f>
        <v>7.47</v>
      </c>
      <c r="L8" s="81">
        <v>0.09</v>
      </c>
      <c r="M8" s="82">
        <f>K8/H8*1000</f>
        <v>74.7</v>
      </c>
    </row>
    <row r="9" spans="1:13" x14ac:dyDescent="0.2">
      <c r="B9" s="1" t="s">
        <v>226</v>
      </c>
      <c r="C9" s="80">
        <v>1.7</v>
      </c>
      <c r="D9" s="80">
        <v>0.5</v>
      </c>
      <c r="E9" s="80">
        <v>0.43</v>
      </c>
      <c r="F9" s="80">
        <v>0.3</v>
      </c>
      <c r="G9" s="4">
        <v>249</v>
      </c>
      <c r="H9" s="4">
        <v>1</v>
      </c>
      <c r="I9" s="9">
        <f t="shared" ref="I9" si="3">1/J9</f>
        <v>1.0010010010010011</v>
      </c>
      <c r="J9" s="4">
        <v>0.999</v>
      </c>
      <c r="K9" s="81">
        <f>F9*H9*L9</f>
        <v>0.33</v>
      </c>
      <c r="L9" s="81">
        <v>1.1000000000000001</v>
      </c>
      <c r="M9" s="82">
        <f>K9/H9*1000</f>
        <v>330</v>
      </c>
    </row>
  </sheetData>
  <autoFilter ref="B5:M9" xr:uid="{00000000-0001-0000-0200-000000000000}"/>
  <mergeCells count="2">
    <mergeCell ref="B3:H3"/>
    <mergeCell ref="B2:E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FBC91-8160-1B42-B01D-BEB176018E31}">
  <sheetPr codeName="Sheet2">
    <tabColor theme="3" tint="0.79998168889431442"/>
  </sheetPr>
  <dimension ref="A1:I17"/>
  <sheetViews>
    <sheetView zoomScaleNormal="100" workbookViewId="0">
      <pane xSplit="1" ySplit="2" topLeftCell="B3" activePane="bottomRight" state="frozen"/>
      <selection pane="topRight" activeCell="B1" sqref="B1"/>
      <selection pane="bottomLeft" activeCell="A3" sqref="A3"/>
      <selection pane="bottomRight" activeCell="G27" sqref="G27"/>
    </sheetView>
  </sheetViews>
  <sheetFormatPr baseColWidth="10" defaultRowHeight="16" x14ac:dyDescent="0.2"/>
  <cols>
    <col min="1" max="1" width="10.83203125" style="10" customWidth="1"/>
    <col min="2" max="2" width="16" style="1" customWidth="1"/>
    <col min="3" max="3" width="23.6640625" style="1" bestFit="1" customWidth="1"/>
    <col min="4" max="4" width="25.5" style="1" customWidth="1"/>
    <col min="5" max="5" width="18" style="1" customWidth="1"/>
    <col min="6" max="6" width="23.33203125" style="1" customWidth="1"/>
    <col min="7" max="7" width="18.5" style="1" bestFit="1" customWidth="1"/>
    <col min="8" max="8" width="18.5" style="1" customWidth="1"/>
    <col min="9" max="9" width="23.33203125" style="1" customWidth="1"/>
    <col min="10" max="10" width="27.83203125" style="1" bestFit="1" customWidth="1"/>
    <col min="11" max="11" width="19.83203125" style="1" bestFit="1" customWidth="1"/>
    <col min="12" max="12" width="18.33203125" style="1" bestFit="1" customWidth="1"/>
    <col min="13" max="13" width="61.83203125" style="1" bestFit="1" customWidth="1"/>
    <col min="14" max="14" width="16.83203125" style="1" bestFit="1" customWidth="1"/>
    <col min="15" max="16" width="10.83203125" style="1" customWidth="1"/>
    <col min="17" max="16384" width="10.83203125" style="1"/>
  </cols>
  <sheetData>
    <row r="1" spans="1:9" s="10" customFormat="1" x14ac:dyDescent="0.2"/>
    <row r="2" spans="1:9" s="10" customFormat="1" ht="21" customHeight="1" x14ac:dyDescent="0.25">
      <c r="B2" s="90" t="s">
        <v>121</v>
      </c>
      <c r="C2" s="91"/>
      <c r="D2" s="91"/>
      <c r="E2" s="91"/>
      <c r="F2" s="14"/>
      <c r="G2" s="14"/>
      <c r="H2" s="14"/>
      <c r="I2" s="14"/>
    </row>
    <row r="3" spans="1:9" ht="36" customHeight="1" x14ac:dyDescent="0.2">
      <c r="B3" s="85" t="s">
        <v>125</v>
      </c>
      <c r="C3" s="85"/>
      <c r="D3" s="85"/>
      <c r="E3" s="85"/>
      <c r="F3" s="85"/>
      <c r="G3" s="85"/>
    </row>
    <row r="4" spans="1:9" x14ac:dyDescent="0.2">
      <c r="C4" s="17"/>
    </row>
    <row r="5" spans="1:9" x14ac:dyDescent="0.2">
      <c r="C5" s="17"/>
    </row>
    <row r="6" spans="1:9" s="62" customFormat="1" ht="35" thickBot="1" x14ac:dyDescent="0.25">
      <c r="A6" s="60"/>
      <c r="B6" s="61" t="s">
        <v>8</v>
      </c>
      <c r="C6" s="61" t="s">
        <v>84</v>
      </c>
      <c r="D6" s="61" t="s">
        <v>87</v>
      </c>
      <c r="E6" s="61" t="s">
        <v>56</v>
      </c>
      <c r="F6" s="61" t="s">
        <v>55</v>
      </c>
      <c r="G6" s="61" t="s">
        <v>110</v>
      </c>
      <c r="H6" s="61" t="s">
        <v>112</v>
      </c>
      <c r="I6" s="61" t="s">
        <v>109</v>
      </c>
    </row>
    <row r="7" spans="1:9" x14ac:dyDescent="0.2">
      <c r="B7" s="1" t="s">
        <v>219</v>
      </c>
      <c r="C7" s="1" t="s">
        <v>32</v>
      </c>
      <c r="D7" s="1" t="s">
        <v>123</v>
      </c>
      <c r="E7" s="1">
        <v>1</v>
      </c>
      <c r="F7" s="1" t="s">
        <v>20</v>
      </c>
      <c r="G7" s="1" t="s">
        <v>90</v>
      </c>
      <c r="I7" s="1" t="s">
        <v>220</v>
      </c>
    </row>
    <row r="8" spans="1:9" x14ac:dyDescent="0.2">
      <c r="B8" s="1" t="s">
        <v>219</v>
      </c>
      <c r="C8" s="1" t="s">
        <v>123</v>
      </c>
      <c r="D8" s="1" t="s">
        <v>213</v>
      </c>
      <c r="E8" s="1">
        <v>1</v>
      </c>
      <c r="F8" s="1" t="s">
        <v>20</v>
      </c>
      <c r="G8" s="1" t="s">
        <v>223</v>
      </c>
      <c r="I8" s="1" t="s">
        <v>220</v>
      </c>
    </row>
    <row r="9" spans="1:9" x14ac:dyDescent="0.2">
      <c r="B9" s="1" t="s">
        <v>219</v>
      </c>
      <c r="C9" s="1" t="s">
        <v>213</v>
      </c>
      <c r="D9" s="1" t="s">
        <v>20</v>
      </c>
      <c r="E9" s="1">
        <v>1</v>
      </c>
      <c r="F9" s="1" t="s">
        <v>20</v>
      </c>
      <c r="G9" s="1" t="s">
        <v>90</v>
      </c>
      <c r="I9" s="1" t="s">
        <v>220</v>
      </c>
    </row>
    <row r="10" spans="1:9" x14ac:dyDescent="0.2">
      <c r="B10" s="1" t="s">
        <v>219</v>
      </c>
      <c r="C10" s="1" t="s">
        <v>122</v>
      </c>
      <c r="D10" s="1" t="s">
        <v>118</v>
      </c>
      <c r="E10" s="1">
        <v>1</v>
      </c>
      <c r="F10" s="1" t="s">
        <v>20</v>
      </c>
      <c r="G10" s="1" t="s">
        <v>90</v>
      </c>
      <c r="I10" s="1" t="s">
        <v>220</v>
      </c>
    </row>
    <row r="11" spans="1:9" x14ac:dyDescent="0.2">
      <c r="B11" s="1" t="s">
        <v>219</v>
      </c>
      <c r="C11" s="1" t="s">
        <v>118</v>
      </c>
      <c r="D11" s="1" t="s">
        <v>213</v>
      </c>
      <c r="E11" s="1">
        <v>1</v>
      </c>
      <c r="F11" s="1" t="s">
        <v>20</v>
      </c>
      <c r="G11" s="1" t="s">
        <v>223</v>
      </c>
      <c r="I11" s="1" t="s">
        <v>220</v>
      </c>
    </row>
    <row r="12" spans="1:9" x14ac:dyDescent="0.2">
      <c r="B12" s="1" t="s">
        <v>219</v>
      </c>
      <c r="C12" s="1" t="s">
        <v>213</v>
      </c>
      <c r="D12" s="1" t="s">
        <v>20</v>
      </c>
      <c r="E12" s="1">
        <v>1</v>
      </c>
      <c r="F12" s="1" t="s">
        <v>20</v>
      </c>
      <c r="G12" s="1" t="s">
        <v>90</v>
      </c>
      <c r="I12" s="1" t="s">
        <v>220</v>
      </c>
    </row>
    <row r="13" spans="1:9" x14ac:dyDescent="0.2">
      <c r="B13" s="1" t="s">
        <v>219</v>
      </c>
      <c r="C13" s="1" t="s">
        <v>23</v>
      </c>
      <c r="D13" s="1" t="s">
        <v>20</v>
      </c>
      <c r="E13" s="1">
        <v>2</v>
      </c>
      <c r="F13" s="1" t="s">
        <v>32</v>
      </c>
      <c r="G13" s="1" t="s">
        <v>90</v>
      </c>
      <c r="I13" s="1" t="s">
        <v>216</v>
      </c>
    </row>
    <row r="14" spans="1:9" x14ac:dyDescent="0.2">
      <c r="B14" s="1" t="s">
        <v>219</v>
      </c>
      <c r="C14" s="1" t="s">
        <v>20</v>
      </c>
      <c r="D14" s="1" t="s">
        <v>26</v>
      </c>
      <c r="E14" s="1">
        <v>2</v>
      </c>
      <c r="F14" s="1" t="s">
        <v>32</v>
      </c>
      <c r="G14" s="1" t="s">
        <v>90</v>
      </c>
      <c r="I14" s="1" t="s">
        <v>216</v>
      </c>
    </row>
    <row r="15" spans="1:9" x14ac:dyDescent="0.2">
      <c r="B15" s="1" t="s">
        <v>219</v>
      </c>
      <c r="C15" s="1" t="s">
        <v>26</v>
      </c>
      <c r="D15" s="1" t="s">
        <v>28</v>
      </c>
      <c r="E15" s="1">
        <v>2</v>
      </c>
      <c r="F15" s="1" t="s">
        <v>32</v>
      </c>
      <c r="G15" s="1" t="s">
        <v>91</v>
      </c>
      <c r="I15" s="1" t="s">
        <v>216</v>
      </c>
    </row>
    <row r="16" spans="1:9" x14ac:dyDescent="0.2">
      <c r="B16" s="1" t="s">
        <v>219</v>
      </c>
      <c r="C16" s="1" t="s">
        <v>28</v>
      </c>
      <c r="D16" s="1" t="s">
        <v>30</v>
      </c>
      <c r="E16" s="1">
        <v>2</v>
      </c>
      <c r="F16" s="1" t="s">
        <v>32</v>
      </c>
      <c r="G16" s="1" t="s">
        <v>90</v>
      </c>
      <c r="I16" s="1" t="s">
        <v>216</v>
      </c>
    </row>
    <row r="17" spans="2:9" x14ac:dyDescent="0.2">
      <c r="B17" s="1" t="s">
        <v>219</v>
      </c>
      <c r="C17" s="1" t="s">
        <v>30</v>
      </c>
      <c r="D17" s="1" t="s">
        <v>32</v>
      </c>
      <c r="E17" s="1">
        <v>2</v>
      </c>
      <c r="F17" s="1" t="s">
        <v>32</v>
      </c>
      <c r="G17" s="1" t="s">
        <v>90</v>
      </c>
      <c r="I17" s="1" t="s">
        <v>216</v>
      </c>
    </row>
  </sheetData>
  <mergeCells count="2">
    <mergeCell ref="B2:E2"/>
    <mergeCell ref="B3:G3"/>
  </mergeCells>
  <dataValidations count="3">
    <dataValidation type="list" allowBlank="1" showInputMessage="1" showErrorMessage="1" sqref="I18:I24" xr:uid="{DBAD3FDB-952C-7F43-96F0-FEF20F6BF99B}">
      <formula1>"Product shipment, Repositioning"</formula1>
    </dataValidation>
    <dataValidation type="list" allowBlank="1" showInputMessage="1" showErrorMessage="1" sqref="G7:G103" xr:uid="{48F70526-EB22-F24E-8D43-D5EFA94F0A62}">
      <formula1>"Road, Maritime, Air"</formula1>
    </dataValidation>
    <dataValidation type="list" allowBlank="1" showInputMessage="1" showErrorMessage="1" sqref="I7:I17" xr:uid="{788742E4-2837-7D44-BBC4-809D61363F2C}">
      <formula1>"Product shipment, Provisioning"</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49A80977-CF94-4B46-98FE-99D8B12AB6F1}">
          <x14:formula1>
            <xm:f>'Filtered Input Data'!$D$6:$D$100</xm:f>
          </x14:formula1>
          <xm:sqref>F18:F24</xm:sqref>
        </x14:dataValidation>
        <x14:dataValidation type="list" allowBlank="1" showInputMessage="1" showErrorMessage="1" xr:uid="{35E9FBB3-C04F-E54A-89F9-8AD9059E9F89}">
          <x14:formula1>
            <xm:f>'Location Data'!$C$6:$C$106</xm:f>
          </x14:formula1>
          <xm:sqref>C18:D105</xm:sqref>
        </x14:dataValidation>
        <x14:dataValidation type="list" allowBlank="1" showInputMessage="1" showErrorMessage="1" xr:uid="{96F4C73E-357A-534B-80A5-370B64A9E219}">
          <x14:formula1>
            <xm:f>'Container Data'!$B$7:$B$97</xm:f>
          </x14:formula1>
          <xm:sqref>B18:B104</xm:sqref>
        </x14:dataValidation>
        <x14:dataValidation type="list" allowBlank="1" showInputMessage="1" showErrorMessage="1" xr:uid="{90327201-24BD-F44A-86A6-6F8EA227C692}">
          <x14:formula1>
            <xm:f>'Container Data'!$B$6:$B$18</xm:f>
          </x14:formula1>
          <xm:sqref>B7:B17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79998168889431442"/>
  </sheetPr>
  <dimension ref="A1:G39"/>
  <sheetViews>
    <sheetView zoomScaleNormal="100" workbookViewId="0">
      <pane xSplit="1" ySplit="2" topLeftCell="B3" activePane="bottomRight" state="frozen"/>
      <selection pane="topRight" activeCell="B1" sqref="B1"/>
      <selection pane="bottomLeft" activeCell="A3" sqref="A3"/>
      <selection pane="bottomRight" activeCell="H18" sqref="H18"/>
    </sheetView>
  </sheetViews>
  <sheetFormatPr baseColWidth="10" defaultRowHeight="16" x14ac:dyDescent="0.2"/>
  <cols>
    <col min="1" max="1" width="10.83203125" style="10" customWidth="1"/>
    <col min="2" max="2" width="12.83203125" style="1" bestFit="1" customWidth="1"/>
    <col min="3" max="3" width="25.1640625" style="1" bestFit="1" customWidth="1"/>
    <col min="4" max="4" width="22.1640625" style="1" bestFit="1" customWidth="1"/>
    <col min="5" max="5" width="11.1640625" style="1" bestFit="1" customWidth="1"/>
    <col min="6" max="6" width="12.1640625" style="1" bestFit="1" customWidth="1"/>
    <col min="7" max="7" width="12.83203125" style="1" bestFit="1" customWidth="1"/>
    <col min="8" max="8" width="27.83203125" style="1" bestFit="1" customWidth="1"/>
    <col min="9" max="9" width="19.83203125" style="1" bestFit="1" customWidth="1"/>
    <col min="10" max="10" width="18.33203125" style="1" bestFit="1" customWidth="1"/>
    <col min="11" max="11" width="61.83203125" style="1" bestFit="1" customWidth="1"/>
    <col min="12" max="12" width="16.83203125" style="1" bestFit="1" customWidth="1"/>
    <col min="13" max="14" width="10.83203125" style="1" customWidth="1"/>
    <col min="15" max="16384" width="10.83203125" style="1"/>
  </cols>
  <sheetData>
    <row r="1" spans="2:7" s="10" customFormat="1" x14ac:dyDescent="0.2"/>
    <row r="2" spans="2:7" s="10" customFormat="1" ht="21" customHeight="1" x14ac:dyDescent="0.25">
      <c r="B2" s="90" t="s">
        <v>60</v>
      </c>
      <c r="C2" s="91"/>
      <c r="D2" s="91"/>
      <c r="E2" s="14"/>
      <c r="F2" s="14"/>
      <c r="G2" s="14"/>
    </row>
    <row r="3" spans="2:7" x14ac:dyDescent="0.2">
      <c r="B3" s="92" t="s">
        <v>189</v>
      </c>
      <c r="C3" s="93"/>
      <c r="D3" s="93"/>
      <c r="E3" s="93"/>
    </row>
    <row r="5" spans="2:7" ht="17" customHeight="1" thickBot="1" x14ac:dyDescent="0.25">
      <c r="B5" s="2" t="s">
        <v>61</v>
      </c>
      <c r="C5" s="2" t="s">
        <v>62</v>
      </c>
      <c r="D5" s="2" t="s">
        <v>63</v>
      </c>
      <c r="E5" s="2" t="s">
        <v>64</v>
      </c>
      <c r="F5" s="2" t="s">
        <v>65</v>
      </c>
      <c r="G5" s="2" t="s">
        <v>66</v>
      </c>
    </row>
    <row r="6" spans="2:7" x14ac:dyDescent="0.2">
      <c r="B6" s="1" t="s">
        <v>25</v>
      </c>
      <c r="C6" s="1" t="s">
        <v>26</v>
      </c>
      <c r="D6" s="1" t="s">
        <v>67</v>
      </c>
      <c r="E6" s="1" t="s">
        <v>68</v>
      </c>
      <c r="F6" s="58">
        <v>50.036261920994598</v>
      </c>
      <c r="G6" s="58">
        <v>8.5615512041164905</v>
      </c>
    </row>
    <row r="7" spans="2:7" x14ac:dyDescent="0.2">
      <c r="B7" s="1" t="s">
        <v>25</v>
      </c>
      <c r="C7" s="1" t="s">
        <v>69</v>
      </c>
      <c r="D7" s="1" t="s">
        <v>70</v>
      </c>
      <c r="E7" s="1" t="s">
        <v>57</v>
      </c>
      <c r="F7" s="58">
        <v>47.595949187558602</v>
      </c>
      <c r="G7" s="58">
        <v>7.5262396786708701</v>
      </c>
    </row>
    <row r="8" spans="2:7" x14ac:dyDescent="0.2">
      <c r="B8" s="1" t="s">
        <v>25</v>
      </c>
      <c r="C8" s="1" t="s">
        <v>28</v>
      </c>
      <c r="D8" s="1" t="s">
        <v>71</v>
      </c>
      <c r="E8" s="1" t="s">
        <v>58</v>
      </c>
      <c r="F8" s="58">
        <v>39.872957689209798</v>
      </c>
      <c r="G8" s="58">
        <v>-75.243712992363598</v>
      </c>
    </row>
    <row r="9" spans="2:7" x14ac:dyDescent="0.2">
      <c r="B9" s="1" t="s">
        <v>25</v>
      </c>
      <c r="C9" s="1" t="s">
        <v>72</v>
      </c>
      <c r="D9" s="1" t="s">
        <v>73</v>
      </c>
      <c r="E9" s="1" t="s">
        <v>59</v>
      </c>
      <c r="F9" s="58">
        <v>32.005577471207403</v>
      </c>
      <c r="G9" s="58">
        <v>34.885872539111901</v>
      </c>
    </row>
    <row r="10" spans="2:7" x14ac:dyDescent="0.2">
      <c r="B10" s="1" t="s">
        <v>25</v>
      </c>
      <c r="C10" s="1" t="s">
        <v>209</v>
      </c>
      <c r="D10" s="1" t="s">
        <v>71</v>
      </c>
      <c r="E10" s="1" t="s">
        <v>210</v>
      </c>
      <c r="F10" s="58">
        <v>18.4394312548398</v>
      </c>
      <c r="G10" s="58">
        <v>-65.999524811385498</v>
      </c>
    </row>
    <row r="11" spans="2:7" x14ac:dyDescent="0.2">
      <c r="B11" s="1" t="s">
        <v>25</v>
      </c>
      <c r="C11" s="1" t="s">
        <v>120</v>
      </c>
      <c r="D11" s="1" t="s">
        <v>116</v>
      </c>
      <c r="E11" s="1" t="s">
        <v>114</v>
      </c>
      <c r="F11" s="58">
        <v>4.70439602959362</v>
      </c>
      <c r="G11" s="58">
        <v>-74.140087365653002</v>
      </c>
    </row>
    <row r="12" spans="2:7" x14ac:dyDescent="0.2">
      <c r="B12" s="1" t="s">
        <v>22</v>
      </c>
      <c r="C12" s="1" t="s">
        <v>23</v>
      </c>
      <c r="D12" s="1" t="s">
        <v>67</v>
      </c>
      <c r="E12" s="1" t="s">
        <v>77</v>
      </c>
      <c r="F12" s="58">
        <v>49.895199348840698</v>
      </c>
      <c r="G12" s="58">
        <v>8.6534919258756702</v>
      </c>
    </row>
    <row r="13" spans="2:7" x14ac:dyDescent="0.2">
      <c r="B13" s="1" t="s">
        <v>22</v>
      </c>
      <c r="C13" s="1" t="s">
        <v>211</v>
      </c>
      <c r="D13" s="1" t="s">
        <v>71</v>
      </c>
      <c r="E13" s="1" t="s">
        <v>210</v>
      </c>
      <c r="F13" s="58">
        <v>18.4508643370919</v>
      </c>
      <c r="G13" s="58">
        <v>-66.350069233390997</v>
      </c>
    </row>
    <row r="14" spans="2:7" x14ac:dyDescent="0.2">
      <c r="B14" s="1" t="s">
        <v>22</v>
      </c>
      <c r="C14" s="1" t="s">
        <v>30</v>
      </c>
      <c r="D14" s="1" t="s">
        <v>71</v>
      </c>
      <c r="E14" s="1" t="s">
        <v>58</v>
      </c>
      <c r="F14" s="58">
        <v>40.214840750716498</v>
      </c>
      <c r="G14" s="58">
        <v>-75.283800385935294</v>
      </c>
    </row>
    <row r="15" spans="2:7" x14ac:dyDescent="0.2">
      <c r="B15" s="1" t="s">
        <v>22</v>
      </c>
      <c r="C15" s="1" t="s">
        <v>113</v>
      </c>
      <c r="D15" s="1" t="s">
        <v>70</v>
      </c>
      <c r="E15" s="1" t="s">
        <v>57</v>
      </c>
      <c r="F15" s="58">
        <v>47.571944419261101</v>
      </c>
      <c r="G15" s="58">
        <v>7.5807294670943799</v>
      </c>
    </row>
    <row r="16" spans="2:7" x14ac:dyDescent="0.2">
      <c r="B16" s="1" t="s">
        <v>22</v>
      </c>
      <c r="C16" s="1" t="s">
        <v>115</v>
      </c>
      <c r="D16" s="1" t="s">
        <v>116</v>
      </c>
      <c r="E16" s="1" t="s">
        <v>114</v>
      </c>
      <c r="F16" s="58">
        <v>4.6971305531375096</v>
      </c>
      <c r="G16" s="58">
        <v>-74.157654821615296</v>
      </c>
    </row>
    <row r="17" spans="2:7" x14ac:dyDescent="0.2">
      <c r="B17" s="1" t="s">
        <v>117</v>
      </c>
      <c r="C17" s="1" t="s">
        <v>118</v>
      </c>
      <c r="D17" s="1" t="s">
        <v>116</v>
      </c>
      <c r="E17" s="1" t="s">
        <v>119</v>
      </c>
      <c r="F17" s="58">
        <v>10.4056229168746</v>
      </c>
      <c r="G17" s="58">
        <v>-75.527676275666906</v>
      </c>
    </row>
    <row r="18" spans="2:7" x14ac:dyDescent="0.2">
      <c r="B18" s="1" t="s">
        <v>117</v>
      </c>
      <c r="C18" s="1" t="s">
        <v>213</v>
      </c>
      <c r="D18" s="1" t="s">
        <v>214</v>
      </c>
      <c r="E18" s="1" t="s">
        <v>215</v>
      </c>
      <c r="F18" s="58">
        <v>51.881061552228402</v>
      </c>
      <c r="G18" s="58">
        <v>4.3220068199573296</v>
      </c>
    </row>
    <row r="19" spans="2:7" x14ac:dyDescent="0.2">
      <c r="B19" s="1" t="s">
        <v>117</v>
      </c>
      <c r="C19" s="1" t="s">
        <v>123</v>
      </c>
      <c r="D19" s="1" t="s">
        <v>71</v>
      </c>
      <c r="E19" s="1" t="s">
        <v>124</v>
      </c>
      <c r="F19" s="58">
        <v>40.686564177465598</v>
      </c>
      <c r="G19" s="58">
        <v>-73.9948948914124</v>
      </c>
    </row>
    <row r="20" spans="2:7" x14ac:dyDescent="0.2">
      <c r="B20" s="1" t="s">
        <v>74</v>
      </c>
      <c r="C20" s="1" t="s">
        <v>20</v>
      </c>
      <c r="D20" s="1" t="s">
        <v>67</v>
      </c>
      <c r="E20" s="1" t="s">
        <v>68</v>
      </c>
      <c r="F20" s="58">
        <v>50.017402826553798</v>
      </c>
      <c r="G20" s="58">
        <v>8.7866435253177801</v>
      </c>
    </row>
    <row r="21" spans="2:7" x14ac:dyDescent="0.2">
      <c r="B21" s="1" t="s">
        <v>74</v>
      </c>
      <c r="C21" s="1" t="s">
        <v>75</v>
      </c>
      <c r="D21" s="1" t="s">
        <v>70</v>
      </c>
      <c r="E21" s="1" t="s">
        <v>57</v>
      </c>
      <c r="F21" s="58">
        <v>47.5675117908402</v>
      </c>
      <c r="G21" s="58">
        <v>7.6029046043403001</v>
      </c>
    </row>
    <row r="22" spans="2:7" x14ac:dyDescent="0.2">
      <c r="B22" s="1" t="s">
        <v>74</v>
      </c>
      <c r="C22" s="1" t="s">
        <v>212</v>
      </c>
      <c r="D22" s="1" t="s">
        <v>71</v>
      </c>
      <c r="E22" s="1" t="s">
        <v>210</v>
      </c>
      <c r="F22" s="58">
        <v>18.430640636132399</v>
      </c>
      <c r="G22" s="58">
        <v>-65.989156397835501</v>
      </c>
    </row>
    <row r="23" spans="2:7" x14ac:dyDescent="0.2">
      <c r="B23" s="1" t="s">
        <v>74</v>
      </c>
      <c r="C23" s="1" t="s">
        <v>32</v>
      </c>
      <c r="D23" s="1" t="s">
        <v>71</v>
      </c>
      <c r="E23" s="1" t="s">
        <v>58</v>
      </c>
      <c r="F23" s="58">
        <v>39.8996649813066</v>
      </c>
      <c r="G23" s="58">
        <v>-75.234201757073393</v>
      </c>
    </row>
    <row r="24" spans="2:7" x14ac:dyDescent="0.2">
      <c r="B24" s="1" t="s">
        <v>74</v>
      </c>
      <c r="C24" s="1" t="s">
        <v>76</v>
      </c>
      <c r="D24" s="1" t="s">
        <v>73</v>
      </c>
      <c r="E24" s="1" t="s">
        <v>59</v>
      </c>
      <c r="F24" s="58">
        <v>32.035630613665496</v>
      </c>
      <c r="G24" s="58">
        <v>34.912610628276397</v>
      </c>
    </row>
    <row r="25" spans="2:7" x14ac:dyDescent="0.2">
      <c r="B25" s="1" t="s">
        <v>74</v>
      </c>
      <c r="C25" s="1" t="s">
        <v>107</v>
      </c>
      <c r="D25" s="1" t="s">
        <v>67</v>
      </c>
      <c r="E25" s="1" t="s">
        <v>108</v>
      </c>
      <c r="F25" s="58">
        <v>48.194225003705299</v>
      </c>
      <c r="G25" s="58">
        <v>11.592186969521</v>
      </c>
    </row>
    <row r="26" spans="2:7" x14ac:dyDescent="0.2">
      <c r="B26" s="1" t="s">
        <v>74</v>
      </c>
      <c r="C26" s="1" t="s">
        <v>122</v>
      </c>
      <c r="D26" s="1" t="s">
        <v>116</v>
      </c>
      <c r="E26" s="1" t="s">
        <v>114</v>
      </c>
      <c r="F26" s="58">
        <v>4.7006667909263102</v>
      </c>
      <c r="G26" s="58">
        <v>-74.161444924726197</v>
      </c>
    </row>
    <row r="27" spans="2:7" x14ac:dyDescent="0.2">
      <c r="F27" s="58"/>
      <c r="G27" s="58"/>
    </row>
    <row r="28" spans="2:7" x14ac:dyDescent="0.2">
      <c r="F28" s="58"/>
      <c r="G28" s="58"/>
    </row>
    <row r="29" spans="2:7" x14ac:dyDescent="0.2">
      <c r="F29" s="58"/>
      <c r="G29" s="58"/>
    </row>
    <row r="30" spans="2:7" x14ac:dyDescent="0.2">
      <c r="F30" s="58"/>
      <c r="G30" s="58"/>
    </row>
    <row r="31" spans="2:7" x14ac:dyDescent="0.2">
      <c r="F31" s="58"/>
      <c r="G31" s="58"/>
    </row>
    <row r="32" spans="2:7" x14ac:dyDescent="0.2">
      <c r="F32" s="58"/>
      <c r="G32" s="58"/>
    </row>
    <row r="33" spans="6:7" x14ac:dyDescent="0.2">
      <c r="F33" s="58"/>
      <c r="G33" s="58"/>
    </row>
    <row r="34" spans="6:7" x14ac:dyDescent="0.2">
      <c r="F34" s="58"/>
      <c r="G34" s="58"/>
    </row>
    <row r="35" spans="6:7" x14ac:dyDescent="0.2">
      <c r="F35" s="58"/>
      <c r="G35" s="58"/>
    </row>
    <row r="36" spans="6:7" x14ac:dyDescent="0.2">
      <c r="F36" s="58"/>
      <c r="G36" s="58"/>
    </row>
    <row r="37" spans="6:7" x14ac:dyDescent="0.2">
      <c r="F37" s="58"/>
      <c r="G37" s="58"/>
    </row>
    <row r="38" spans="6:7" x14ac:dyDescent="0.2">
      <c r="F38" s="58"/>
      <c r="G38" s="58"/>
    </row>
    <row r="39" spans="6:7" x14ac:dyDescent="0.2">
      <c r="F39" s="58"/>
      <c r="G39" s="58"/>
    </row>
  </sheetData>
  <autoFilter ref="B5:G5" xr:uid="{00000000-0009-0000-0000-000004000000}"/>
  <mergeCells count="2">
    <mergeCell ref="B3:E3"/>
    <mergeCell ref="B2:D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3" tint="0.79998168889431442"/>
  </sheetPr>
  <dimension ref="A1:F13"/>
  <sheetViews>
    <sheetView zoomScaleNormal="100" workbookViewId="0">
      <pane xSplit="1" ySplit="2" topLeftCell="B3" activePane="bottomRight" state="frozen"/>
      <selection pane="topRight" activeCell="B1" sqref="B1"/>
      <selection pane="bottomLeft" activeCell="A3" sqref="A3"/>
      <selection pane="bottomRight" activeCell="H30" sqref="H30"/>
    </sheetView>
  </sheetViews>
  <sheetFormatPr baseColWidth="10" defaultRowHeight="16" x14ac:dyDescent="0.2"/>
  <cols>
    <col min="1" max="1" width="10.83203125" style="10" customWidth="1"/>
    <col min="2" max="2" width="16.1640625" style="1" customWidth="1"/>
    <col min="3" max="3" width="12.33203125" style="1" bestFit="1" customWidth="1"/>
    <col min="4" max="4" width="13" style="1" bestFit="1" customWidth="1"/>
    <col min="5" max="5" width="30" style="1" bestFit="1" customWidth="1"/>
    <col min="6" max="6" width="17.1640625" style="1" customWidth="1"/>
    <col min="7" max="7" width="18.33203125" style="1" bestFit="1" customWidth="1"/>
    <col min="8" max="8" width="61.83203125" style="1" bestFit="1" customWidth="1"/>
    <col min="9" max="9" width="16.83203125" style="1" bestFit="1" customWidth="1"/>
    <col min="10" max="11" width="10.83203125" style="1" customWidth="1"/>
    <col min="12" max="16384" width="10.83203125" style="1"/>
  </cols>
  <sheetData>
    <row r="1" spans="1:6" s="10" customFormat="1" x14ac:dyDescent="0.2"/>
    <row r="2" spans="1:6" s="10" customFormat="1" ht="21" customHeight="1" x14ac:dyDescent="0.25">
      <c r="B2" s="90" t="s">
        <v>92</v>
      </c>
      <c r="C2" s="91"/>
      <c r="D2" s="91"/>
    </row>
    <row r="3" spans="1:6" x14ac:dyDescent="0.2">
      <c r="B3" s="92" t="s">
        <v>93</v>
      </c>
      <c r="C3" s="93"/>
      <c r="D3" s="93"/>
      <c r="E3" s="93"/>
      <c r="F3" s="93"/>
    </row>
    <row r="5" spans="1:6" s="4" customFormat="1" ht="37" customHeight="1" thickBot="1" x14ac:dyDescent="0.25">
      <c r="A5" s="11"/>
      <c r="B5" s="5" t="s">
        <v>8</v>
      </c>
      <c r="C5" s="5" t="s">
        <v>94</v>
      </c>
      <c r="D5" s="5" t="s">
        <v>95</v>
      </c>
      <c r="E5" s="5" t="s">
        <v>96</v>
      </c>
      <c r="F5" s="5" t="s">
        <v>97</v>
      </c>
    </row>
    <row r="6" spans="1:6" x14ac:dyDescent="0.2">
      <c r="B6" s="1" t="s">
        <v>219</v>
      </c>
      <c r="C6" s="15" t="s">
        <v>10</v>
      </c>
      <c r="D6" s="1" t="s">
        <v>67</v>
      </c>
      <c r="E6" s="1" t="str">
        <f t="shared" ref="E6:E7" si="0">B6&amp;C6&amp;D6</f>
        <v>Dummy Container+2/+8°CGermany</v>
      </c>
      <c r="F6" s="18">
        <v>10</v>
      </c>
    </row>
    <row r="7" spans="1:6" x14ac:dyDescent="0.2">
      <c r="B7" s="1" t="s">
        <v>219</v>
      </c>
      <c r="C7" s="15" t="s">
        <v>10</v>
      </c>
      <c r="D7" s="1" t="s">
        <v>71</v>
      </c>
      <c r="E7" s="1" t="str">
        <f t="shared" si="0"/>
        <v>Dummy Container+2/+8°CUnited States of America</v>
      </c>
      <c r="F7" s="18">
        <v>5</v>
      </c>
    </row>
    <row r="8" spans="1:6" x14ac:dyDescent="0.2">
      <c r="B8" s="1" t="s">
        <v>225</v>
      </c>
      <c r="C8" s="15" t="s">
        <v>10</v>
      </c>
      <c r="D8" s="1" t="s">
        <v>67</v>
      </c>
      <c r="E8" s="1" t="str">
        <f t="shared" ref="E8:E12" si="1">B8&amp;C8&amp;D8</f>
        <v>Exemplary Hybrid Container+2/+8°CGermany</v>
      </c>
      <c r="F8" s="18">
        <v>3.4799999999999995</v>
      </c>
    </row>
    <row r="9" spans="1:6" x14ac:dyDescent="0.2">
      <c r="B9" s="1" t="s">
        <v>225</v>
      </c>
      <c r="C9" s="15" t="s">
        <v>10</v>
      </c>
      <c r="D9" s="1" t="s">
        <v>71</v>
      </c>
      <c r="E9" s="1" t="str">
        <f t="shared" si="1"/>
        <v>Exemplary Hybrid Container+2/+8°CUnited States of America</v>
      </c>
      <c r="F9" s="18">
        <v>5</v>
      </c>
    </row>
    <row r="10" spans="1:6" x14ac:dyDescent="0.2">
      <c r="B10" s="1" t="s">
        <v>224</v>
      </c>
      <c r="C10" s="15" t="s">
        <v>10</v>
      </c>
      <c r="D10" s="1" t="s">
        <v>67</v>
      </c>
      <c r="E10" s="1" t="str">
        <f t="shared" ref="E10" si="2">B10&amp;C10&amp;D10</f>
        <v>Exemplary Active Container+2/+8°CGermany</v>
      </c>
      <c r="F10" s="18">
        <v>9.9599999999999991</v>
      </c>
    </row>
    <row r="11" spans="1:6" x14ac:dyDescent="0.2">
      <c r="B11" s="1" t="s">
        <v>224</v>
      </c>
      <c r="C11" s="15" t="s">
        <v>10</v>
      </c>
      <c r="D11" s="1" t="s">
        <v>71</v>
      </c>
      <c r="E11" s="1" t="str">
        <f t="shared" si="1"/>
        <v>Exemplary Active Container+2/+8°CUnited States of America</v>
      </c>
      <c r="F11" s="18">
        <v>8.5489999999999995</v>
      </c>
    </row>
    <row r="12" spans="1:6" x14ac:dyDescent="0.2">
      <c r="B12" s="1" t="s">
        <v>226</v>
      </c>
      <c r="C12" s="15" t="s">
        <v>10</v>
      </c>
      <c r="D12" s="1" t="s">
        <v>67</v>
      </c>
      <c r="E12" s="1" t="str">
        <f t="shared" si="1"/>
        <v>Exemplary Passive Container+2/+8°CGermany</v>
      </c>
      <c r="F12" s="18">
        <v>1.5</v>
      </c>
    </row>
    <row r="13" spans="1:6" x14ac:dyDescent="0.2">
      <c r="B13" s="1" t="s">
        <v>226</v>
      </c>
      <c r="C13" s="15" t="s">
        <v>10</v>
      </c>
      <c r="D13" s="1" t="s">
        <v>71</v>
      </c>
      <c r="E13" s="1" t="str">
        <f t="shared" ref="E13" si="3">B13&amp;C13&amp;D13</f>
        <v>Exemplary Passive Container+2/+8°CUnited States of America</v>
      </c>
      <c r="F13" s="18">
        <v>1.53</v>
      </c>
    </row>
  </sheetData>
  <mergeCells count="2">
    <mergeCell ref="B2:D2"/>
    <mergeCell ref="B3:F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B0771-4DAB-F746-899B-1E7AF6066982}">
  <sheetPr codeName="Sheet5">
    <tabColor theme="7" tint="0.79998168889431442"/>
  </sheetPr>
  <dimension ref="A1:D2"/>
  <sheetViews>
    <sheetView workbookViewId="0">
      <selection activeCell="D2" sqref="D2"/>
    </sheetView>
  </sheetViews>
  <sheetFormatPr baseColWidth="10" defaultRowHeight="16" x14ac:dyDescent="0.2"/>
  <cols>
    <col min="2" max="2" width="29.83203125" bestFit="1" customWidth="1"/>
    <col min="3" max="3" width="28.1640625" bestFit="1" customWidth="1"/>
    <col min="4" max="4" width="35" bestFit="1" customWidth="1"/>
  </cols>
  <sheetData>
    <row r="1" spans="1:4" x14ac:dyDescent="0.2">
      <c r="A1" t="s">
        <v>102</v>
      </c>
      <c r="B1" t="s">
        <v>103</v>
      </c>
      <c r="C1" t="s">
        <v>104</v>
      </c>
      <c r="D1" t="s">
        <v>188</v>
      </c>
    </row>
    <row r="2" spans="1:4" x14ac:dyDescent="0.2">
      <c r="A2">
        <v>0</v>
      </c>
      <c r="B2">
        <v>27.04</v>
      </c>
      <c r="C2">
        <v>6130.46</v>
      </c>
      <c r="D2">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2"/>
  </sheetPr>
  <dimension ref="A1:H36"/>
  <sheetViews>
    <sheetView zoomScaleNormal="100" workbookViewId="0">
      <selection activeCell="H6" sqref="H6"/>
    </sheetView>
  </sheetViews>
  <sheetFormatPr baseColWidth="10" defaultRowHeight="16" x14ac:dyDescent="0.2"/>
  <cols>
    <col min="1" max="1" width="10.83203125" style="10" customWidth="1"/>
    <col min="2" max="2" width="13.6640625" style="1" customWidth="1"/>
    <col min="3" max="3" width="17.5" style="1" bestFit="1" customWidth="1"/>
    <col min="4" max="4" width="23.6640625" style="1" bestFit="1" customWidth="1"/>
    <col min="5" max="5" width="19.83203125" style="1" bestFit="1" customWidth="1"/>
    <col min="6" max="6" width="25.5" style="1" customWidth="1"/>
    <col min="7" max="7" width="24.1640625" style="1" customWidth="1"/>
    <col min="8" max="8" width="12.33203125" style="1" bestFit="1" customWidth="1"/>
    <col min="9" max="9" width="19.83203125" style="1" bestFit="1" customWidth="1"/>
    <col min="10" max="10" width="18.33203125" style="1" bestFit="1" customWidth="1"/>
    <col min="11" max="11" width="61.83203125" style="1" bestFit="1" customWidth="1"/>
    <col min="12" max="12" width="16.83203125" style="1" bestFit="1" customWidth="1"/>
    <col min="13" max="14" width="10.83203125" style="1" customWidth="1"/>
    <col min="15" max="16384" width="10.83203125" style="1"/>
  </cols>
  <sheetData>
    <row r="1" spans="2:8" s="10" customFormat="1" x14ac:dyDescent="0.2"/>
    <row r="2" spans="2:8" s="10" customFormat="1" ht="21" customHeight="1" x14ac:dyDescent="0.25">
      <c r="B2" s="90" t="s">
        <v>191</v>
      </c>
      <c r="C2" s="91"/>
      <c r="D2" s="91"/>
      <c r="E2" s="91"/>
      <c r="F2" s="91"/>
      <c r="G2" s="91"/>
    </row>
    <row r="3" spans="2:8" x14ac:dyDescent="0.2">
      <c r="B3" s="92" t="s">
        <v>192</v>
      </c>
      <c r="C3" s="93"/>
      <c r="D3" s="93"/>
      <c r="E3" s="93"/>
    </row>
    <row r="5" spans="2:8" ht="17" customHeight="1" thickBot="1" x14ac:dyDescent="0.25">
      <c r="B5" s="2" t="s">
        <v>61</v>
      </c>
      <c r="C5" s="2" t="s">
        <v>25</v>
      </c>
      <c r="D5" s="2" t="s">
        <v>74</v>
      </c>
      <c r="E5" s="2" t="s">
        <v>22</v>
      </c>
      <c r="F5" s="2"/>
      <c r="G5" s="2" t="s">
        <v>9</v>
      </c>
      <c r="H5" s="2" t="s">
        <v>175</v>
      </c>
    </row>
    <row r="6" spans="2:8" ht="17" customHeight="1" x14ac:dyDescent="0.2">
      <c r="B6" s="16"/>
      <c r="C6" s="59" t="s">
        <v>106</v>
      </c>
      <c r="D6" s="16" t="s">
        <v>106</v>
      </c>
      <c r="E6" s="16" t="s">
        <v>106</v>
      </c>
      <c r="F6" s="16"/>
      <c r="G6" s="16" t="s">
        <v>106</v>
      </c>
      <c r="H6" s="1" t="str" cm="1">
        <f t="array" ref="H6:H36">_xlfn._xlws.FILTER('Airplane models by type'!$B$2:$B$103, 'Airplane models by type'!$A$2:$A$103='Emissions Calculator'!$C$33)</f>
        <v>Not available</v>
      </c>
    </row>
    <row r="7" spans="2:8" x14ac:dyDescent="0.2">
      <c r="B7" s="1" t="s">
        <v>25</v>
      </c>
      <c r="C7" s="1" t="str" cm="1">
        <f t="array" ref="C7:C12">_xlfn._xlws.FILTER('Location Data'!$C$6:$C$156, 'Location Data'!$B$6:$B$156='Filtered Input Data'!$C$5)</f>
        <v>Frankfurt Airport</v>
      </c>
      <c r="D7" s="1" t="str" cm="1">
        <f t="array" ref="D7:D13">_xlfn._xlws.FILTER('Location Data'!$C$6:$C$156, 'Location Data'!$B$6:$B$156='Filtered Input Data'!$D$5)</f>
        <v>Frankfurt Service Center</v>
      </c>
      <c r="E7" s="1" t="str" cm="1">
        <f t="array" ref="E7:E11">_xlfn._xlws.FILTER('Location Data'!$C$6:$C$156, 'Location Data'!$B$6:$B$156='Filtered Input Data'!$E$5)</f>
        <v>Generic Pharma Darmstadt</v>
      </c>
      <c r="G7" s="1" t="str" cm="1">
        <f t="array" ref="G7:G8">_xlfn._xlws.FILTER('Preconditioning Data'!$C$6:$C$92,'Preconditioning Data'!$B$6:$B$92='Emissions Calculator'!$C$10)</f>
        <v>+2/+8°C</v>
      </c>
      <c r="H7" s="1" t="str">
        <v>A300-600F</v>
      </c>
    </row>
    <row r="8" spans="2:8" x14ac:dyDescent="0.2">
      <c r="B8" s="1" t="s">
        <v>19</v>
      </c>
      <c r="C8" s="1" t="str">
        <v>Basel Airport</v>
      </c>
      <c r="D8" s="1" t="str">
        <v>Basel Service Center</v>
      </c>
      <c r="E8" s="1" t="str">
        <v>Generic Pharma San Juan</v>
      </c>
      <c r="G8" s="1" t="str">
        <v>+2/+8°C</v>
      </c>
      <c r="H8" s="1" t="str">
        <v>A300-B4 Freighter</v>
      </c>
    </row>
    <row r="9" spans="2:8" x14ac:dyDescent="0.2">
      <c r="B9" s="1" t="s">
        <v>22</v>
      </c>
      <c r="C9" s="1" t="str">
        <v>Philadelphia Airport</v>
      </c>
      <c r="D9" s="1" t="str">
        <v>San Juan Service Center</v>
      </c>
      <c r="E9" s="1" t="str">
        <v>Generic Pharma Philadelphia</v>
      </c>
      <c r="H9" s="1" t="str">
        <v>A310-300 Freighter</v>
      </c>
    </row>
    <row r="10" spans="2:8" x14ac:dyDescent="0.2">
      <c r="C10" s="1" t="str">
        <v>Tel Aviv Airport</v>
      </c>
      <c r="D10" s="1" t="str">
        <v>Philadelphia Service Center</v>
      </c>
      <c r="E10" s="1" t="str">
        <v>Big Pharma Basel</v>
      </c>
      <c r="H10" s="1" t="str">
        <v>A320 Freighter</v>
      </c>
    </row>
    <row r="11" spans="2:8" x14ac:dyDescent="0.2">
      <c r="C11" s="1" t="str">
        <v>San Juan Airport</v>
      </c>
      <c r="D11" s="1" t="str">
        <v>Tel Aviv Service Center</v>
      </c>
      <c r="E11" s="1" t="str">
        <v>Colombia Pharma SA</v>
      </c>
      <c r="H11" s="1" t="str">
        <v>AN-12</v>
      </c>
    </row>
    <row r="12" spans="2:8" x14ac:dyDescent="0.2">
      <c r="C12" s="1" t="str">
        <v>Bogota Airport</v>
      </c>
      <c r="D12" s="1" t="str">
        <v>Munich Service Center</v>
      </c>
      <c r="H12" s="1" t="str">
        <v>AN-26 Freighter</v>
      </c>
    </row>
    <row r="13" spans="2:8" x14ac:dyDescent="0.2">
      <c r="D13" s="1" t="str">
        <v>Bogota Service Center</v>
      </c>
      <c r="H13" s="1" t="str">
        <v>ATR 42-300 Freighter</v>
      </c>
    </row>
    <row r="14" spans="2:8" x14ac:dyDescent="0.2">
      <c r="H14" s="1" t="str">
        <v>B727-200F</v>
      </c>
    </row>
    <row r="15" spans="2:8" x14ac:dyDescent="0.2">
      <c r="H15" s="1" t="str">
        <v>B737-300SF</v>
      </c>
    </row>
    <row r="16" spans="2:8" x14ac:dyDescent="0.2">
      <c r="H16" s="1" t="str">
        <v>B747-200F</v>
      </c>
    </row>
    <row r="17" spans="8:8" x14ac:dyDescent="0.2">
      <c r="H17" s="1" t="str">
        <v>B747-400F</v>
      </c>
    </row>
    <row r="18" spans="8:8" x14ac:dyDescent="0.2">
      <c r="H18" s="1" t="str">
        <v>B747-800F</v>
      </c>
    </row>
    <row r="19" spans="8:8" x14ac:dyDescent="0.2">
      <c r="H19" s="1" t="str">
        <v>B757-200F</v>
      </c>
    </row>
    <row r="20" spans="8:8" x14ac:dyDescent="0.2">
      <c r="H20" s="1" t="str">
        <v>B757-200PF</v>
      </c>
    </row>
    <row r="21" spans="8:8" x14ac:dyDescent="0.2">
      <c r="H21" s="1" t="str">
        <v>B757-200SF</v>
      </c>
    </row>
    <row r="22" spans="8:8" x14ac:dyDescent="0.2">
      <c r="H22" s="1" t="str">
        <v>B767-200ERF</v>
      </c>
    </row>
    <row r="23" spans="8:8" x14ac:dyDescent="0.2">
      <c r="H23" s="1" t="str">
        <v>B767-300 Freighter</v>
      </c>
    </row>
    <row r="24" spans="8:8" x14ac:dyDescent="0.2">
      <c r="H24" s="1" t="str">
        <v>B767-300F</v>
      </c>
    </row>
    <row r="25" spans="8:8" x14ac:dyDescent="0.2">
      <c r="H25" s="1" t="str">
        <v>B777-200F</v>
      </c>
    </row>
    <row r="26" spans="8:8" x14ac:dyDescent="0.2">
      <c r="H26" s="1" t="str">
        <v>BAe-146-200F</v>
      </c>
    </row>
    <row r="27" spans="8:8" x14ac:dyDescent="0.2">
      <c r="H27" s="1" t="str">
        <v>DC-10-30F</v>
      </c>
    </row>
    <row r="28" spans="8:8" x14ac:dyDescent="0.2">
      <c r="H28" s="1" t="str">
        <v>DC-8-63F</v>
      </c>
    </row>
    <row r="29" spans="8:8" x14ac:dyDescent="0.2">
      <c r="H29" s="1" t="str">
        <v>DC-8-73F</v>
      </c>
    </row>
    <row r="30" spans="8:8" x14ac:dyDescent="0.2">
      <c r="H30" s="1" t="str">
        <v>F-27-500</v>
      </c>
    </row>
    <row r="31" spans="8:8" x14ac:dyDescent="0.2">
      <c r="H31" s="1" t="str">
        <v>IL-76MD</v>
      </c>
    </row>
    <row r="32" spans="8:8" x14ac:dyDescent="0.2">
      <c r="H32" s="1" t="str">
        <v>L-188 Electra Freighter</v>
      </c>
    </row>
    <row r="33" spans="8:8" x14ac:dyDescent="0.2">
      <c r="H33" s="1" t="str">
        <v>MD-11 Freighter</v>
      </c>
    </row>
    <row r="34" spans="8:8" x14ac:dyDescent="0.2">
      <c r="H34" s="1" t="str">
        <v>MD-11F</v>
      </c>
    </row>
    <row r="35" spans="8:8" x14ac:dyDescent="0.2">
      <c r="H35" s="1" t="str">
        <v>Saab 340B</v>
      </c>
    </row>
    <row r="36" spans="8:8" x14ac:dyDescent="0.2">
      <c r="H36" s="1" t="str">
        <v>TU-204-100C</v>
      </c>
    </row>
  </sheetData>
  <mergeCells count="2">
    <mergeCell ref="B2:G2"/>
    <mergeCell ref="B3: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2"/>
  </sheetPr>
  <dimension ref="A1:J6"/>
  <sheetViews>
    <sheetView zoomScaleNormal="100" workbookViewId="0">
      <selection activeCell="K4" sqref="K4"/>
    </sheetView>
  </sheetViews>
  <sheetFormatPr baseColWidth="10" defaultRowHeight="16" x14ac:dyDescent="0.2"/>
  <cols>
    <col min="1" max="1" width="32.6640625" customWidth="1"/>
    <col min="2" max="2" width="16.1640625" customWidth="1"/>
    <col min="4" max="4" width="11.6640625" customWidth="1"/>
  </cols>
  <sheetData>
    <row r="1" spans="1:10" x14ac:dyDescent="0.2">
      <c r="A1" t="s">
        <v>83</v>
      </c>
      <c r="B1" t="s">
        <v>84</v>
      </c>
      <c r="C1" t="s">
        <v>111</v>
      </c>
      <c r="D1" t="s">
        <v>85</v>
      </c>
      <c r="E1" t="s">
        <v>86</v>
      </c>
      <c r="F1" t="s">
        <v>87</v>
      </c>
      <c r="G1" t="s">
        <v>88</v>
      </c>
      <c r="H1" t="s">
        <v>89</v>
      </c>
      <c r="I1" t="s">
        <v>13</v>
      </c>
      <c r="J1" t="s">
        <v>12</v>
      </c>
    </row>
    <row r="2" spans="1:10" x14ac:dyDescent="0.2">
      <c r="A2" t="s">
        <v>78</v>
      </c>
      <c r="B2" s="19" t="str">
        <f>'Emissions Calculator'!$C$23</f>
        <v>ServiceCenter</v>
      </c>
      <c r="C2" t="s">
        <v>90</v>
      </c>
      <c r="D2" s="79">
        <f>VLOOKUP('Emissions Calculator'!$D$23,'Location Data'!$C$5:$G$107,4, FALSE)</f>
        <v>50.017402826553798</v>
      </c>
      <c r="E2" s="79">
        <f>VLOOKUP('Emissions Calculator'!$D$23,'Location Data'!$C$5:$G$107,5, FALSE)</f>
        <v>8.7866435253177801</v>
      </c>
      <c r="F2" t="str">
        <f>'Emissions Calculator'!$C$24</f>
        <v>Customer</v>
      </c>
      <c r="G2" s="79">
        <f>VLOOKUP('Emissions Calculator'!$D$24,'Location Data'!$C$5:$G$107,4, FALSE)</f>
        <v>49.895199348840698</v>
      </c>
      <c r="H2" s="79">
        <f>VLOOKUP('Emissions Calculator'!$D$24,'Location Data'!$C$5:$G$107,5, FALSE)</f>
        <v>8.6534919258756702</v>
      </c>
      <c r="I2" s="19">
        <f>'Emissions Calculator'!$C$17-'Emissions Calculator'!$C$14</f>
        <v>800</v>
      </c>
      <c r="J2">
        <f>'Emissions Calculator'!$C$18</f>
        <v>6</v>
      </c>
    </row>
    <row r="3" spans="1:10" x14ac:dyDescent="0.2">
      <c r="A3" t="s">
        <v>79</v>
      </c>
      <c r="B3" s="19" t="str">
        <f>F2</f>
        <v>Customer</v>
      </c>
      <c r="C3" t="s">
        <v>90</v>
      </c>
      <c r="D3" s="79">
        <f>VLOOKUP('Emissions Calculator'!$D$24,'Location Data'!$C$5:$G$107,4, FALSE)</f>
        <v>49.895199348840698</v>
      </c>
      <c r="E3" s="79">
        <f>VLOOKUP('Emissions Calculator'!$D$24,'Location Data'!$C$5:$G$107,5, FALSE)</f>
        <v>8.6534919258756702</v>
      </c>
      <c r="F3" t="str">
        <f>'Emissions Calculator'!$C$25</f>
        <v>Airport</v>
      </c>
      <c r="G3" s="79">
        <f>VLOOKUP('Emissions Calculator'!$D$25,'Location Data'!$C$5:$G$107,4, FALSE)</f>
        <v>50.036261920994598</v>
      </c>
      <c r="H3" s="79">
        <f>VLOOKUP('Emissions Calculator'!$D$25,'Location Data'!$C$5:$G$107,5, FALSE)</f>
        <v>8.5615512041164905</v>
      </c>
      <c r="I3" s="19">
        <f>'Emissions Calculator'!$C$17</f>
        <v>1300</v>
      </c>
      <c r="J3">
        <f>'Emissions Calculator'!$C$18</f>
        <v>6</v>
      </c>
    </row>
    <row r="4" spans="1:10" x14ac:dyDescent="0.2">
      <c r="A4" t="s">
        <v>80</v>
      </c>
      <c r="B4" s="19" t="str">
        <f>F3</f>
        <v>Airport</v>
      </c>
      <c r="C4" t="s">
        <v>91</v>
      </c>
      <c r="D4" s="79">
        <f>VLOOKUP('Emissions Calculator'!$D$25,'Location Data'!$C$5:$G$107,4, FALSE)</f>
        <v>50.036261920994598</v>
      </c>
      <c r="E4" s="79">
        <f>VLOOKUP('Emissions Calculator'!$D$25,'Location Data'!$C$5:$G$107,5, FALSE)</f>
        <v>8.5615512041164905</v>
      </c>
      <c r="F4" t="str">
        <f>'Emissions Calculator'!$C$26</f>
        <v>Airport</v>
      </c>
      <c r="G4" s="79">
        <f>VLOOKUP('Emissions Calculator'!$D$26,'Location Data'!$C$5:$G$107,4, FALSE)</f>
        <v>39.872957689209798</v>
      </c>
      <c r="H4" s="79">
        <f>VLOOKUP('Emissions Calculator'!$D$26,'Location Data'!$C$5:$G$107,5, FALSE)</f>
        <v>-75.243712992363598</v>
      </c>
      <c r="I4" s="19">
        <f>'Emissions Calculator'!$C$17</f>
        <v>1300</v>
      </c>
      <c r="J4">
        <f>'Emissions Calculator'!$C$18</f>
        <v>6</v>
      </c>
    </row>
    <row r="5" spans="1:10" x14ac:dyDescent="0.2">
      <c r="A5" t="s">
        <v>81</v>
      </c>
      <c r="B5" t="str">
        <f>F4</f>
        <v>Airport</v>
      </c>
      <c r="C5" t="s">
        <v>90</v>
      </c>
      <c r="D5" s="79">
        <f>VLOOKUP('Emissions Calculator'!$D$26,'Location Data'!$C$5:$G$107,4, FALSE)</f>
        <v>39.872957689209798</v>
      </c>
      <c r="E5" s="79">
        <f>VLOOKUP('Emissions Calculator'!$D$26,'Location Data'!$C$5:$G$107,5, FALSE)</f>
        <v>-75.243712992363598</v>
      </c>
      <c r="F5" t="str">
        <f>'Emissions Calculator'!$C$27</f>
        <v>Customer</v>
      </c>
      <c r="G5" s="79">
        <f>VLOOKUP('Emissions Calculator'!$D$27,'Location Data'!$C$5:$G$107,4, FALSE)</f>
        <v>40.214840750716498</v>
      </c>
      <c r="H5" s="79">
        <f>VLOOKUP('Emissions Calculator'!$D$27,'Location Data'!$C$5:$G$107,5, FALSE)</f>
        <v>-75.283800385935294</v>
      </c>
      <c r="I5" s="19">
        <f>'Emissions Calculator'!$C$17</f>
        <v>1300</v>
      </c>
      <c r="J5">
        <f>'Emissions Calculator'!$C$18</f>
        <v>6</v>
      </c>
    </row>
    <row r="6" spans="1:10" x14ac:dyDescent="0.2">
      <c r="A6" t="s">
        <v>82</v>
      </c>
      <c r="B6" s="19" t="str">
        <f>F5</f>
        <v>Customer</v>
      </c>
      <c r="C6" t="s">
        <v>90</v>
      </c>
      <c r="D6" s="79">
        <f>VLOOKUP('Emissions Calculator'!$D$27,'Location Data'!$C$5:$G$107,4, FALSE)</f>
        <v>40.214840750716498</v>
      </c>
      <c r="E6" s="79">
        <f>VLOOKUP('Emissions Calculator'!$D$27,'Location Data'!$C$5:$G$107,5, FALSE)</f>
        <v>-75.283800385935294</v>
      </c>
      <c r="F6" t="str">
        <f>'Emissions Calculator'!$C$28</f>
        <v>ServiceCenter</v>
      </c>
      <c r="G6" s="79">
        <f>VLOOKUP('Emissions Calculator'!$D$28,'Location Data'!$C$5:$G$107,4, FALSE)</f>
        <v>39.8996649813066</v>
      </c>
      <c r="H6" s="79">
        <f>VLOOKUP('Emissions Calculator'!$D$28,'Location Data'!$C$5:$G$107,5, FALSE)</f>
        <v>-75.234201757073393</v>
      </c>
      <c r="I6" s="19">
        <f>'Emissions Calculator'!$C$17-'Emissions Calculator'!$C$14</f>
        <v>800</v>
      </c>
      <c r="J6">
        <f>'Emissions Calculator'!$C$18</f>
        <v>6</v>
      </c>
    </row>
  </sheetData>
  <dataValidations count="1">
    <dataValidation type="list" allowBlank="1" showInputMessage="1" showErrorMessage="1" sqref="A2:A6" xr:uid="{42F68763-3AFB-AC4C-87EB-1C47B0F13184}">
      <formula1>$B$1:$B$2</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2"/>
  </sheetPr>
  <dimension ref="A1:J2"/>
  <sheetViews>
    <sheetView zoomScale="110" zoomScaleNormal="190" workbookViewId="0">
      <selection activeCell="A2" sqref="A2"/>
    </sheetView>
  </sheetViews>
  <sheetFormatPr baseColWidth="10" defaultRowHeight="16" x14ac:dyDescent="0.2"/>
  <cols>
    <col min="1" max="1" width="23.83203125" bestFit="1" customWidth="1"/>
    <col min="2" max="3" width="23.83203125" customWidth="1"/>
    <col min="4" max="4" width="12.83203125" bestFit="1" customWidth="1"/>
  </cols>
  <sheetData>
    <row r="1" spans="1:10" x14ac:dyDescent="0.2">
      <c r="A1" t="s">
        <v>8</v>
      </c>
      <c r="B1" t="s">
        <v>126</v>
      </c>
      <c r="C1" t="s">
        <v>56</v>
      </c>
      <c r="D1" t="s">
        <v>12</v>
      </c>
      <c r="E1" t="s">
        <v>98</v>
      </c>
      <c r="F1" t="s">
        <v>99</v>
      </c>
      <c r="G1" t="s">
        <v>34</v>
      </c>
      <c r="H1" t="s">
        <v>128</v>
      </c>
      <c r="I1" t="s">
        <v>35</v>
      </c>
      <c r="J1" t="s">
        <v>36</v>
      </c>
    </row>
    <row r="2" spans="1:10" x14ac:dyDescent="0.2">
      <c r="A2" t="str">
        <f>'Emissions Calculator'!$C$10</f>
        <v>Dummy Container</v>
      </c>
      <c r="B2" s="19" t="str">
        <f>'Emissions Calculator'!$D$23</f>
        <v>Frankfurt Service Center</v>
      </c>
      <c r="C2" s="19">
        <f>'Emissions Calculator'!$C$16</f>
        <v>2</v>
      </c>
      <c r="D2" s="19">
        <f>'Emissions Calculator'!$C$18</f>
        <v>6</v>
      </c>
      <c r="E2" s="19">
        <f>'Emissions Calculator'!$C$17</f>
        <v>1300</v>
      </c>
      <c r="F2" s="19">
        <f>'Emissions Calculator'!$C$17-'Emissions Calculator'!$C$14</f>
        <v>800</v>
      </c>
      <c r="G2" t="str">
        <f>'Emissions Calculator'!$C$33</f>
        <v>Freight aircraft</v>
      </c>
      <c r="H2" t="str">
        <f>'Emissions Calculator'!$C$34</f>
        <v>B747-400F</v>
      </c>
      <c r="I2">
        <f>'Emissions Calculator'!$C$35</f>
        <v>65</v>
      </c>
      <c r="J2">
        <f>'Emissions Calculator'!$C$36</f>
        <v>75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1D9B5-5A93-C14F-920A-F468AB04755E}">
  <sheetPr codeName="Sheet12">
    <tabColor theme="2"/>
  </sheetPr>
  <dimension ref="A1:L1100"/>
  <sheetViews>
    <sheetView workbookViewId="0">
      <selection activeCell="A12" sqref="A12"/>
    </sheetView>
  </sheetViews>
  <sheetFormatPr baseColWidth="10" defaultRowHeight="16" x14ac:dyDescent="0.2"/>
  <cols>
    <col min="1" max="1" width="13.33203125" bestFit="1" customWidth="1"/>
    <col min="2" max="2" width="19.33203125" bestFit="1" customWidth="1"/>
    <col min="3" max="3" width="15.5" bestFit="1" customWidth="1"/>
    <col min="4" max="4" width="26.1640625" bestFit="1" customWidth="1"/>
    <col min="5" max="5" width="23.6640625" bestFit="1" customWidth="1"/>
    <col min="6" max="6" width="18.5" bestFit="1" customWidth="1"/>
    <col min="7" max="7" width="19.1640625" bestFit="1" customWidth="1"/>
    <col min="8" max="8" width="13.33203125" bestFit="1" customWidth="1"/>
  </cols>
  <sheetData>
    <row r="1" spans="1:12" x14ac:dyDescent="0.2">
      <c r="A1" t="s">
        <v>8</v>
      </c>
      <c r="B1" t="s">
        <v>84</v>
      </c>
      <c r="C1" t="s">
        <v>87</v>
      </c>
      <c r="D1" t="s">
        <v>56</v>
      </c>
      <c r="E1" t="s">
        <v>55</v>
      </c>
      <c r="F1" t="s">
        <v>111</v>
      </c>
      <c r="G1" t="s">
        <v>127</v>
      </c>
      <c r="H1" t="s">
        <v>109</v>
      </c>
      <c r="I1" t="s">
        <v>85</v>
      </c>
      <c r="J1" t="s">
        <v>86</v>
      </c>
      <c r="K1" t="s">
        <v>88</v>
      </c>
      <c r="L1" t="s">
        <v>89</v>
      </c>
    </row>
    <row r="2" spans="1:12" x14ac:dyDescent="0.2">
      <c r="A2" t="str">
        <f>'Shipment Data for Provisioning'!B7</f>
        <v>Dummy Container</v>
      </c>
      <c r="B2" t="str">
        <f>'Shipment Data for Provisioning'!C7</f>
        <v>Philadelphia Service Center</v>
      </c>
      <c r="C2" t="str">
        <f>'Shipment Data for Provisioning'!D7</f>
        <v>Port of New York and New Jersey</v>
      </c>
      <c r="D2">
        <f>'Shipment Data for Provisioning'!E7</f>
        <v>1</v>
      </c>
      <c r="E2" t="str">
        <f>'Shipment Data for Provisioning'!F7</f>
        <v>Frankfurt Service Center</v>
      </c>
      <c r="F2" t="str">
        <f>'Shipment Data for Provisioning'!G7</f>
        <v>Road</v>
      </c>
      <c r="G2">
        <f>'Shipment Data for Provisioning'!H7</f>
        <v>0</v>
      </c>
      <c r="H2" t="str">
        <f>'Shipment Data for Provisioning'!I7</f>
        <v>Provisioning</v>
      </c>
      <c r="I2">
        <f>VLOOKUP(B2,'Location Data'!$C$5:$G$1004,4,FALSE)</f>
        <v>39.8996649813066</v>
      </c>
      <c r="J2">
        <f>VLOOKUP(B2,'Location Data'!$C$5:$G$1004,5,FALSE)</f>
        <v>-75.234201757073393</v>
      </c>
      <c r="K2">
        <f>VLOOKUP(C2,'Location Data'!$C$5:$G$1004,4,FALSE)</f>
        <v>40.686564177465598</v>
      </c>
      <c r="L2">
        <f>VLOOKUP(C2,'Location Data'!$C$5:$G$1004,5,FALSE)</f>
        <v>-73.9948948914124</v>
      </c>
    </row>
    <row r="3" spans="1:12" x14ac:dyDescent="0.2">
      <c r="A3" t="str">
        <f>'Shipment Data for Provisioning'!B8</f>
        <v>Dummy Container</v>
      </c>
      <c r="B3" t="str">
        <f>'Shipment Data for Provisioning'!C8</f>
        <v>Port of New York and New Jersey</v>
      </c>
      <c r="C3" t="str">
        <f>'Shipment Data for Provisioning'!D8</f>
        <v>Port of Rotterdam</v>
      </c>
      <c r="D3">
        <f>'Shipment Data for Provisioning'!E8</f>
        <v>1</v>
      </c>
      <c r="E3" t="str">
        <f>'Shipment Data for Provisioning'!F8</f>
        <v>Frankfurt Service Center</v>
      </c>
      <c r="F3" t="str">
        <f>'Shipment Data for Provisioning'!G8</f>
        <v>Maritime</v>
      </c>
      <c r="G3">
        <f>'Shipment Data for Provisioning'!H8</f>
        <v>0</v>
      </c>
      <c r="H3" t="str">
        <f>'Shipment Data for Provisioning'!I8</f>
        <v>Provisioning</v>
      </c>
      <c r="I3">
        <f>VLOOKUP(B3,'Location Data'!$C$5:$G$1004,4,FALSE)</f>
        <v>40.686564177465598</v>
      </c>
      <c r="J3">
        <f>VLOOKUP(B3,'Location Data'!$C$5:$G$1004,5,FALSE)</f>
        <v>-73.9948948914124</v>
      </c>
      <c r="K3">
        <f>VLOOKUP(C3,'Location Data'!$C$5:$G$1004,4,FALSE)</f>
        <v>51.881061552228402</v>
      </c>
      <c r="L3">
        <f>VLOOKUP(C3,'Location Data'!$C$5:$G$1004,5,FALSE)</f>
        <v>4.3220068199573296</v>
      </c>
    </row>
    <row r="4" spans="1:12" x14ac:dyDescent="0.2">
      <c r="A4" t="str">
        <f>'Shipment Data for Provisioning'!B9</f>
        <v>Dummy Container</v>
      </c>
      <c r="B4" t="str">
        <f>'Shipment Data for Provisioning'!C9</f>
        <v>Port of Rotterdam</v>
      </c>
      <c r="C4" t="str">
        <f>'Shipment Data for Provisioning'!D9</f>
        <v>Frankfurt Service Center</v>
      </c>
      <c r="D4">
        <f>'Shipment Data for Provisioning'!E9</f>
        <v>1</v>
      </c>
      <c r="E4" t="str">
        <f>'Shipment Data for Provisioning'!F9</f>
        <v>Frankfurt Service Center</v>
      </c>
      <c r="F4" t="str">
        <f>'Shipment Data for Provisioning'!G9</f>
        <v>Road</v>
      </c>
      <c r="G4">
        <f>'Shipment Data for Provisioning'!H9</f>
        <v>0</v>
      </c>
      <c r="H4" t="str">
        <f>'Shipment Data for Provisioning'!I9</f>
        <v>Provisioning</v>
      </c>
      <c r="I4">
        <f>VLOOKUP(B4,'Location Data'!$C$5:$G$1004,4,FALSE)</f>
        <v>51.881061552228402</v>
      </c>
      <c r="J4">
        <f>VLOOKUP(B4,'Location Data'!$C$5:$G$1004,5,FALSE)</f>
        <v>4.3220068199573296</v>
      </c>
      <c r="K4">
        <f>VLOOKUP(C4,'Location Data'!$C$5:$G$1004,4,FALSE)</f>
        <v>50.017402826553798</v>
      </c>
      <c r="L4">
        <f>VLOOKUP(C4,'Location Data'!$C$5:$G$1004,5,FALSE)</f>
        <v>8.7866435253177801</v>
      </c>
    </row>
    <row r="5" spans="1:12" x14ac:dyDescent="0.2">
      <c r="A5" t="str">
        <f>'Shipment Data for Provisioning'!B10</f>
        <v>Dummy Container</v>
      </c>
      <c r="B5" t="str">
        <f>'Shipment Data for Provisioning'!C10</f>
        <v>Bogota Service Center</v>
      </c>
      <c r="C5" t="str">
        <f>'Shipment Data for Provisioning'!D10</f>
        <v>Port of Cartagena</v>
      </c>
      <c r="D5">
        <f>'Shipment Data for Provisioning'!E10</f>
        <v>1</v>
      </c>
      <c r="E5" t="str">
        <f>'Shipment Data for Provisioning'!F10</f>
        <v>Frankfurt Service Center</v>
      </c>
      <c r="F5" t="str">
        <f>'Shipment Data for Provisioning'!G10</f>
        <v>Road</v>
      </c>
      <c r="G5">
        <f>'Shipment Data for Provisioning'!H10</f>
        <v>0</v>
      </c>
      <c r="H5" t="str">
        <f>'Shipment Data for Provisioning'!I10</f>
        <v>Provisioning</v>
      </c>
      <c r="I5">
        <f>VLOOKUP(B5,'Location Data'!$C$5:$G$1004,4,FALSE)</f>
        <v>4.7006667909263102</v>
      </c>
      <c r="J5">
        <f>VLOOKUP(B5,'Location Data'!$C$5:$G$1004,5,FALSE)</f>
        <v>-74.161444924726197</v>
      </c>
      <c r="K5">
        <f>VLOOKUP(C5,'Location Data'!$C$5:$G$1004,4,FALSE)</f>
        <v>10.4056229168746</v>
      </c>
      <c r="L5">
        <f>VLOOKUP(C5,'Location Data'!$C$5:$G$1004,5,FALSE)</f>
        <v>-75.527676275666906</v>
      </c>
    </row>
    <row r="6" spans="1:12" x14ac:dyDescent="0.2">
      <c r="A6" t="str">
        <f>'Shipment Data for Provisioning'!B11</f>
        <v>Dummy Container</v>
      </c>
      <c r="B6" t="str">
        <f>'Shipment Data for Provisioning'!C11</f>
        <v>Port of Cartagena</v>
      </c>
      <c r="C6" t="str">
        <f>'Shipment Data for Provisioning'!D11</f>
        <v>Port of Rotterdam</v>
      </c>
      <c r="D6">
        <f>'Shipment Data for Provisioning'!E11</f>
        <v>1</v>
      </c>
      <c r="E6" t="str">
        <f>'Shipment Data for Provisioning'!F11</f>
        <v>Frankfurt Service Center</v>
      </c>
      <c r="F6" t="str">
        <f>'Shipment Data for Provisioning'!G11</f>
        <v>Maritime</v>
      </c>
      <c r="G6">
        <f>'Shipment Data for Provisioning'!H11</f>
        <v>0</v>
      </c>
      <c r="H6" t="str">
        <f>'Shipment Data for Provisioning'!I11</f>
        <v>Provisioning</v>
      </c>
      <c r="I6">
        <f>VLOOKUP(B6,'Location Data'!$C$5:$G$1004,4,FALSE)</f>
        <v>10.4056229168746</v>
      </c>
      <c r="J6">
        <f>VLOOKUP(B6,'Location Data'!$C$5:$G$1004,5,FALSE)</f>
        <v>-75.527676275666906</v>
      </c>
      <c r="K6">
        <f>VLOOKUP(C6,'Location Data'!$C$5:$G$1004,4,FALSE)</f>
        <v>51.881061552228402</v>
      </c>
      <c r="L6">
        <f>VLOOKUP(C6,'Location Data'!$C$5:$G$1004,5,FALSE)</f>
        <v>4.3220068199573296</v>
      </c>
    </row>
    <row r="7" spans="1:12" x14ac:dyDescent="0.2">
      <c r="A7" t="str">
        <f>'Shipment Data for Provisioning'!B12</f>
        <v>Dummy Container</v>
      </c>
      <c r="B7" t="str">
        <f>'Shipment Data for Provisioning'!C12</f>
        <v>Port of Rotterdam</v>
      </c>
      <c r="C7" t="str">
        <f>'Shipment Data for Provisioning'!D12</f>
        <v>Frankfurt Service Center</v>
      </c>
      <c r="D7">
        <f>'Shipment Data for Provisioning'!E12</f>
        <v>1</v>
      </c>
      <c r="E7" t="str">
        <f>'Shipment Data for Provisioning'!F12</f>
        <v>Frankfurt Service Center</v>
      </c>
      <c r="F7" t="str">
        <f>'Shipment Data for Provisioning'!G12</f>
        <v>Road</v>
      </c>
      <c r="G7">
        <f>'Shipment Data for Provisioning'!H12</f>
        <v>0</v>
      </c>
      <c r="H7" t="str">
        <f>'Shipment Data for Provisioning'!I12</f>
        <v>Provisioning</v>
      </c>
      <c r="I7">
        <f>VLOOKUP(B7,'Location Data'!$C$5:$G$1004,4,FALSE)</f>
        <v>51.881061552228402</v>
      </c>
      <c r="J7">
        <f>VLOOKUP(B7,'Location Data'!$C$5:$G$1004,5,FALSE)</f>
        <v>4.3220068199573296</v>
      </c>
      <c r="K7">
        <f>VLOOKUP(C7,'Location Data'!$C$5:$G$1004,4,FALSE)</f>
        <v>50.017402826553798</v>
      </c>
      <c r="L7">
        <f>VLOOKUP(C7,'Location Data'!$C$5:$G$1004,5,FALSE)</f>
        <v>8.7866435253177801</v>
      </c>
    </row>
    <row r="8" spans="1:12" x14ac:dyDescent="0.2">
      <c r="A8" t="str">
        <f>'Shipment Data for Provisioning'!B13</f>
        <v>Dummy Container</v>
      </c>
      <c r="B8" t="str">
        <f>'Shipment Data for Provisioning'!C13</f>
        <v>Generic Pharma Darmstadt</v>
      </c>
      <c r="C8" t="str">
        <f>'Shipment Data for Provisioning'!D13</f>
        <v>Frankfurt Service Center</v>
      </c>
      <c r="D8">
        <f>'Shipment Data for Provisioning'!E13</f>
        <v>2</v>
      </c>
      <c r="E8" t="str">
        <f>'Shipment Data for Provisioning'!F13</f>
        <v>Philadelphia Service Center</v>
      </c>
      <c r="F8" t="str">
        <f>'Shipment Data for Provisioning'!G13</f>
        <v>Road</v>
      </c>
      <c r="G8">
        <f>'Shipment Data for Provisioning'!H13</f>
        <v>0</v>
      </c>
      <c r="H8" t="str">
        <f>'Shipment Data for Provisioning'!I13</f>
        <v>Product shipment</v>
      </c>
      <c r="I8">
        <f>VLOOKUP(B8,'Location Data'!$C$5:$G$1004,4,FALSE)</f>
        <v>49.895199348840698</v>
      </c>
      <c r="J8">
        <f>VLOOKUP(B8,'Location Data'!$C$5:$G$1004,5,FALSE)</f>
        <v>8.6534919258756702</v>
      </c>
      <c r="K8">
        <f>VLOOKUP(C8,'Location Data'!$C$5:$G$1004,4,FALSE)</f>
        <v>50.017402826553798</v>
      </c>
      <c r="L8">
        <f>VLOOKUP(C8,'Location Data'!$C$5:$G$1004,5,FALSE)</f>
        <v>8.7866435253177801</v>
      </c>
    </row>
    <row r="9" spans="1:12" x14ac:dyDescent="0.2">
      <c r="A9" t="str">
        <f>'Shipment Data for Provisioning'!B14</f>
        <v>Dummy Container</v>
      </c>
      <c r="B9" t="str">
        <f>'Shipment Data for Provisioning'!C14</f>
        <v>Frankfurt Service Center</v>
      </c>
      <c r="C9" t="str">
        <f>'Shipment Data for Provisioning'!D14</f>
        <v>Frankfurt Airport</v>
      </c>
      <c r="D9">
        <f>'Shipment Data for Provisioning'!E14</f>
        <v>2</v>
      </c>
      <c r="E9" t="str">
        <f>'Shipment Data for Provisioning'!F14</f>
        <v>Philadelphia Service Center</v>
      </c>
      <c r="F9" t="str">
        <f>'Shipment Data for Provisioning'!G14</f>
        <v>Road</v>
      </c>
      <c r="G9">
        <f>'Shipment Data for Provisioning'!H14</f>
        <v>0</v>
      </c>
      <c r="H9" t="str">
        <f>'Shipment Data for Provisioning'!I14</f>
        <v>Product shipment</v>
      </c>
      <c r="I9">
        <f>VLOOKUP(B9,'Location Data'!$C$5:$G$1004,4,FALSE)</f>
        <v>50.017402826553798</v>
      </c>
      <c r="J9">
        <f>VLOOKUP(B9,'Location Data'!$C$5:$G$1004,5,FALSE)</f>
        <v>8.7866435253177801</v>
      </c>
      <c r="K9">
        <f>VLOOKUP(C9,'Location Data'!$C$5:$G$1004,4,FALSE)</f>
        <v>50.036261920994598</v>
      </c>
      <c r="L9">
        <f>VLOOKUP(C9,'Location Data'!$C$5:$G$1004,5,FALSE)</f>
        <v>8.5615512041164905</v>
      </c>
    </row>
    <row r="10" spans="1:12" x14ac:dyDescent="0.2">
      <c r="A10" t="str">
        <f>'Shipment Data for Provisioning'!B15</f>
        <v>Dummy Container</v>
      </c>
      <c r="B10" t="str">
        <f>'Shipment Data for Provisioning'!C15</f>
        <v>Frankfurt Airport</v>
      </c>
      <c r="C10" t="str">
        <f>'Shipment Data for Provisioning'!D15</f>
        <v>Philadelphia Airport</v>
      </c>
      <c r="D10">
        <f>'Shipment Data for Provisioning'!E15</f>
        <v>2</v>
      </c>
      <c r="E10" t="str">
        <f>'Shipment Data for Provisioning'!F15</f>
        <v>Philadelphia Service Center</v>
      </c>
      <c r="F10" t="str">
        <f>'Shipment Data for Provisioning'!G15</f>
        <v>Air</v>
      </c>
      <c r="G10">
        <f>'Shipment Data for Provisioning'!H15</f>
        <v>0</v>
      </c>
      <c r="H10" t="str">
        <f>'Shipment Data for Provisioning'!I15</f>
        <v>Product shipment</v>
      </c>
      <c r="I10">
        <f>VLOOKUP(B10,'Location Data'!$C$5:$G$1004,4,FALSE)</f>
        <v>50.036261920994598</v>
      </c>
      <c r="J10">
        <f>VLOOKUP(B10,'Location Data'!$C$5:$G$1004,5,FALSE)</f>
        <v>8.5615512041164905</v>
      </c>
      <c r="K10">
        <f>VLOOKUP(C10,'Location Data'!$C$5:$G$1004,4,FALSE)</f>
        <v>39.872957689209798</v>
      </c>
      <c r="L10">
        <f>VLOOKUP(C10,'Location Data'!$C$5:$G$1004,5,FALSE)</f>
        <v>-75.243712992363598</v>
      </c>
    </row>
    <row r="11" spans="1:12" x14ac:dyDescent="0.2">
      <c r="A11" t="str">
        <f>'Shipment Data for Provisioning'!B16</f>
        <v>Dummy Container</v>
      </c>
      <c r="B11" t="str">
        <f>'Shipment Data for Provisioning'!C16</f>
        <v>Philadelphia Airport</v>
      </c>
      <c r="C11" t="str">
        <f>'Shipment Data for Provisioning'!D16</f>
        <v>Generic Pharma Philadelphia</v>
      </c>
      <c r="D11">
        <f>'Shipment Data for Provisioning'!E16</f>
        <v>2</v>
      </c>
      <c r="E11" t="str">
        <f>'Shipment Data for Provisioning'!F16</f>
        <v>Philadelphia Service Center</v>
      </c>
      <c r="F11" t="str">
        <f>'Shipment Data for Provisioning'!G16</f>
        <v>Road</v>
      </c>
      <c r="G11">
        <f>'Shipment Data for Provisioning'!H16</f>
        <v>0</v>
      </c>
      <c r="H11" t="str">
        <f>'Shipment Data for Provisioning'!I16</f>
        <v>Product shipment</v>
      </c>
      <c r="I11">
        <f>VLOOKUP(B11,'Location Data'!$C$5:$G$1004,4,FALSE)</f>
        <v>39.872957689209798</v>
      </c>
      <c r="J11">
        <f>VLOOKUP(B11,'Location Data'!$C$5:$G$1004,5,FALSE)</f>
        <v>-75.243712992363598</v>
      </c>
      <c r="K11">
        <f>VLOOKUP(C11,'Location Data'!$C$5:$G$1004,4,FALSE)</f>
        <v>40.214840750716498</v>
      </c>
      <c r="L11">
        <f>VLOOKUP(C11,'Location Data'!$C$5:$G$1004,5,FALSE)</f>
        <v>-75.283800385935294</v>
      </c>
    </row>
    <row r="12" spans="1:12" x14ac:dyDescent="0.2">
      <c r="A12" t="str">
        <f>'Shipment Data for Provisioning'!B17</f>
        <v>Dummy Container</v>
      </c>
      <c r="B12" t="str">
        <f>'Shipment Data for Provisioning'!C17</f>
        <v>Generic Pharma Philadelphia</v>
      </c>
      <c r="C12" t="str">
        <f>'Shipment Data for Provisioning'!D17</f>
        <v>Philadelphia Service Center</v>
      </c>
      <c r="D12">
        <f>'Shipment Data for Provisioning'!E17</f>
        <v>2</v>
      </c>
      <c r="E12" t="str">
        <f>'Shipment Data for Provisioning'!F17</f>
        <v>Philadelphia Service Center</v>
      </c>
      <c r="F12" t="str">
        <f>'Shipment Data for Provisioning'!G17</f>
        <v>Road</v>
      </c>
      <c r="G12">
        <f>'Shipment Data for Provisioning'!H17</f>
        <v>0</v>
      </c>
      <c r="H12" t="str">
        <f>'Shipment Data for Provisioning'!I17</f>
        <v>Product shipment</v>
      </c>
      <c r="I12">
        <f>VLOOKUP(B12,'Location Data'!$C$5:$G$1004,4,FALSE)</f>
        <v>40.214840750716498</v>
      </c>
      <c r="J12">
        <f>VLOOKUP(B12,'Location Data'!$C$5:$G$1004,5,FALSE)</f>
        <v>-75.283800385935294</v>
      </c>
      <c r="K12">
        <f>VLOOKUP(C12,'Location Data'!$C$5:$G$1004,4,FALSE)</f>
        <v>39.8996649813066</v>
      </c>
      <c r="L12">
        <f>VLOOKUP(C12,'Location Data'!$C$5:$G$1004,5,FALSE)</f>
        <v>-75.234201757073393</v>
      </c>
    </row>
    <row r="13" spans="1:12" x14ac:dyDescent="0.2">
      <c r="A13">
        <f>'Shipment Data for Provisioning'!B18</f>
        <v>0</v>
      </c>
      <c r="B13">
        <f>'Shipment Data for Provisioning'!C18</f>
        <v>0</v>
      </c>
      <c r="C13">
        <f>'Shipment Data for Provisioning'!D18</f>
        <v>0</v>
      </c>
      <c r="D13">
        <f>'Shipment Data for Provisioning'!E18</f>
        <v>0</v>
      </c>
      <c r="E13">
        <f>'Shipment Data for Provisioning'!F18</f>
        <v>0</v>
      </c>
      <c r="F13">
        <f>'Shipment Data for Provisioning'!G18</f>
        <v>0</v>
      </c>
      <c r="G13">
        <f>'Shipment Data for Provisioning'!H18</f>
        <v>0</v>
      </c>
      <c r="H13">
        <f>'Shipment Data for Provisioning'!I18</f>
        <v>0</v>
      </c>
      <c r="I13" t="e">
        <f>VLOOKUP(B13,'Location Data'!$C$5:$G$1004,4,FALSE)</f>
        <v>#N/A</v>
      </c>
      <c r="J13" t="e">
        <f>VLOOKUP(B13,'Location Data'!$C$5:$G$1004,5,FALSE)</f>
        <v>#N/A</v>
      </c>
      <c r="K13" t="e">
        <f>VLOOKUP(C13,'Location Data'!$C$5:$G$1004,4,FALSE)</f>
        <v>#N/A</v>
      </c>
      <c r="L13" t="e">
        <f>VLOOKUP(C13,'Location Data'!$C$5:$G$1004,5,FALSE)</f>
        <v>#N/A</v>
      </c>
    </row>
    <row r="14" spans="1:12" x14ac:dyDescent="0.2">
      <c r="A14">
        <f>'Shipment Data for Provisioning'!B19</f>
        <v>0</v>
      </c>
      <c r="B14">
        <f>'Shipment Data for Provisioning'!C19</f>
        <v>0</v>
      </c>
      <c r="C14">
        <f>'Shipment Data for Provisioning'!D19</f>
        <v>0</v>
      </c>
      <c r="D14">
        <f>'Shipment Data for Provisioning'!E19</f>
        <v>0</v>
      </c>
      <c r="E14">
        <f>'Shipment Data for Provisioning'!F19</f>
        <v>0</v>
      </c>
      <c r="F14">
        <f>'Shipment Data for Provisioning'!G19</f>
        <v>0</v>
      </c>
      <c r="G14">
        <f>'Shipment Data for Provisioning'!H19</f>
        <v>0</v>
      </c>
      <c r="H14">
        <f>'Shipment Data for Provisioning'!I19</f>
        <v>0</v>
      </c>
      <c r="I14" t="e">
        <f>VLOOKUP(B14,'Location Data'!$C$5:$G$1004,4,FALSE)</f>
        <v>#N/A</v>
      </c>
      <c r="J14" t="e">
        <f>VLOOKUP(B14,'Location Data'!$C$5:$G$1004,5,FALSE)</f>
        <v>#N/A</v>
      </c>
      <c r="K14" t="e">
        <f>VLOOKUP(C14,'Location Data'!$C$5:$G$1004,4,FALSE)</f>
        <v>#N/A</v>
      </c>
      <c r="L14" t="e">
        <f>VLOOKUP(C14,'Location Data'!$C$5:$G$1004,5,FALSE)</f>
        <v>#N/A</v>
      </c>
    </row>
    <row r="15" spans="1:12" x14ac:dyDescent="0.2">
      <c r="A15">
        <f>'Shipment Data for Provisioning'!B20</f>
        <v>0</v>
      </c>
      <c r="B15">
        <f>'Shipment Data for Provisioning'!C20</f>
        <v>0</v>
      </c>
      <c r="C15">
        <f>'Shipment Data for Provisioning'!D20</f>
        <v>0</v>
      </c>
      <c r="D15">
        <f>'Shipment Data for Provisioning'!E20</f>
        <v>0</v>
      </c>
      <c r="E15">
        <f>'Shipment Data for Provisioning'!F20</f>
        <v>0</v>
      </c>
      <c r="F15">
        <f>'Shipment Data for Provisioning'!G20</f>
        <v>0</v>
      </c>
      <c r="G15">
        <f>'Shipment Data for Provisioning'!H20</f>
        <v>0</v>
      </c>
      <c r="H15">
        <f>'Shipment Data for Provisioning'!I20</f>
        <v>0</v>
      </c>
      <c r="I15" t="e">
        <f>VLOOKUP(B15,'Location Data'!$C$5:$G$1004,4,FALSE)</f>
        <v>#N/A</v>
      </c>
      <c r="J15" t="e">
        <f>VLOOKUP(B15,'Location Data'!$C$5:$G$1004,5,FALSE)</f>
        <v>#N/A</v>
      </c>
      <c r="K15" t="e">
        <f>VLOOKUP(C15,'Location Data'!$C$5:$G$1004,4,FALSE)</f>
        <v>#N/A</v>
      </c>
      <c r="L15" t="e">
        <f>VLOOKUP(C15,'Location Data'!$C$5:$G$1004,5,FALSE)</f>
        <v>#N/A</v>
      </c>
    </row>
    <row r="16" spans="1:12" x14ac:dyDescent="0.2">
      <c r="A16">
        <f>'Shipment Data for Provisioning'!B21</f>
        <v>0</v>
      </c>
      <c r="B16">
        <f>'Shipment Data for Provisioning'!C21</f>
        <v>0</v>
      </c>
      <c r="C16">
        <f>'Shipment Data for Provisioning'!D21</f>
        <v>0</v>
      </c>
      <c r="D16">
        <f>'Shipment Data for Provisioning'!E21</f>
        <v>0</v>
      </c>
      <c r="E16">
        <f>'Shipment Data for Provisioning'!F21</f>
        <v>0</v>
      </c>
      <c r="F16">
        <f>'Shipment Data for Provisioning'!G21</f>
        <v>0</v>
      </c>
      <c r="G16">
        <f>'Shipment Data for Provisioning'!H21</f>
        <v>0</v>
      </c>
      <c r="H16">
        <f>'Shipment Data for Provisioning'!I21</f>
        <v>0</v>
      </c>
      <c r="I16" t="e">
        <f>VLOOKUP(B16,'Location Data'!$C$5:$G$1004,4,FALSE)</f>
        <v>#N/A</v>
      </c>
      <c r="J16" t="e">
        <f>VLOOKUP(B16,'Location Data'!$C$5:$G$1004,5,FALSE)</f>
        <v>#N/A</v>
      </c>
      <c r="K16" t="e">
        <f>VLOOKUP(C16,'Location Data'!$C$5:$G$1004,4,FALSE)</f>
        <v>#N/A</v>
      </c>
      <c r="L16" t="e">
        <f>VLOOKUP(C16,'Location Data'!$C$5:$G$1004,5,FALSE)</f>
        <v>#N/A</v>
      </c>
    </row>
    <row r="17" spans="1:12" x14ac:dyDescent="0.2">
      <c r="A17">
        <f>'Shipment Data for Provisioning'!B22</f>
        <v>0</v>
      </c>
      <c r="B17">
        <f>'Shipment Data for Provisioning'!C22</f>
        <v>0</v>
      </c>
      <c r="C17">
        <f>'Shipment Data for Provisioning'!D22</f>
        <v>0</v>
      </c>
      <c r="D17">
        <f>'Shipment Data for Provisioning'!E22</f>
        <v>0</v>
      </c>
      <c r="E17">
        <f>'Shipment Data for Provisioning'!F22</f>
        <v>0</v>
      </c>
      <c r="F17">
        <f>'Shipment Data for Provisioning'!G22</f>
        <v>0</v>
      </c>
      <c r="G17">
        <f>'Shipment Data for Provisioning'!H22</f>
        <v>0</v>
      </c>
      <c r="H17">
        <f>'Shipment Data for Provisioning'!I22</f>
        <v>0</v>
      </c>
      <c r="I17" t="e">
        <f>VLOOKUP(B17,'Location Data'!$C$5:$G$1004,4,FALSE)</f>
        <v>#N/A</v>
      </c>
      <c r="J17" t="e">
        <f>VLOOKUP(B17,'Location Data'!$C$5:$G$1004,5,FALSE)</f>
        <v>#N/A</v>
      </c>
      <c r="K17" t="e">
        <f>VLOOKUP(C17,'Location Data'!$C$5:$G$1004,4,FALSE)</f>
        <v>#N/A</v>
      </c>
      <c r="L17" t="e">
        <f>VLOOKUP(C17,'Location Data'!$C$5:$G$1004,5,FALSE)</f>
        <v>#N/A</v>
      </c>
    </row>
    <row r="18" spans="1:12" x14ac:dyDescent="0.2">
      <c r="A18">
        <f>'Shipment Data for Provisioning'!B23</f>
        <v>0</v>
      </c>
      <c r="B18">
        <f>'Shipment Data for Provisioning'!C23</f>
        <v>0</v>
      </c>
      <c r="C18">
        <f>'Shipment Data for Provisioning'!D23</f>
        <v>0</v>
      </c>
      <c r="D18">
        <f>'Shipment Data for Provisioning'!E23</f>
        <v>0</v>
      </c>
      <c r="E18">
        <f>'Shipment Data for Provisioning'!F23</f>
        <v>0</v>
      </c>
      <c r="F18">
        <f>'Shipment Data for Provisioning'!G23</f>
        <v>0</v>
      </c>
      <c r="G18">
        <f>'Shipment Data for Provisioning'!H23</f>
        <v>0</v>
      </c>
      <c r="H18">
        <f>'Shipment Data for Provisioning'!I23</f>
        <v>0</v>
      </c>
      <c r="I18" t="e">
        <f>VLOOKUP(B18,'Location Data'!$C$5:$G$1004,4,FALSE)</f>
        <v>#N/A</v>
      </c>
      <c r="J18" t="e">
        <f>VLOOKUP(B18,'Location Data'!$C$5:$G$1004,5,FALSE)</f>
        <v>#N/A</v>
      </c>
      <c r="K18" t="e">
        <f>VLOOKUP(C18,'Location Data'!$C$5:$G$1004,4,FALSE)</f>
        <v>#N/A</v>
      </c>
      <c r="L18" t="e">
        <f>VLOOKUP(C18,'Location Data'!$C$5:$G$1004,5,FALSE)</f>
        <v>#N/A</v>
      </c>
    </row>
    <row r="19" spans="1:12" x14ac:dyDescent="0.2">
      <c r="A19">
        <f>'Shipment Data for Provisioning'!B24</f>
        <v>0</v>
      </c>
      <c r="B19">
        <f>'Shipment Data for Provisioning'!C24</f>
        <v>0</v>
      </c>
      <c r="C19">
        <f>'Shipment Data for Provisioning'!D24</f>
        <v>0</v>
      </c>
      <c r="D19">
        <f>'Shipment Data for Provisioning'!E24</f>
        <v>0</v>
      </c>
      <c r="E19">
        <f>'Shipment Data for Provisioning'!F24</f>
        <v>0</v>
      </c>
      <c r="F19">
        <f>'Shipment Data for Provisioning'!G24</f>
        <v>0</v>
      </c>
      <c r="G19">
        <f>'Shipment Data for Provisioning'!H24</f>
        <v>0</v>
      </c>
      <c r="H19">
        <f>'Shipment Data for Provisioning'!I24</f>
        <v>0</v>
      </c>
      <c r="I19" t="e">
        <f>VLOOKUP(B19,'Location Data'!$C$5:$G$1004,4,FALSE)</f>
        <v>#N/A</v>
      </c>
      <c r="J19" t="e">
        <f>VLOOKUP(B19,'Location Data'!$C$5:$G$1004,5,FALSE)</f>
        <v>#N/A</v>
      </c>
      <c r="K19" t="e">
        <f>VLOOKUP(C19,'Location Data'!$C$5:$G$1004,4,FALSE)</f>
        <v>#N/A</v>
      </c>
      <c r="L19" t="e">
        <f>VLOOKUP(C19,'Location Data'!$C$5:$G$1004,5,FALSE)</f>
        <v>#N/A</v>
      </c>
    </row>
    <row r="20" spans="1:12" x14ac:dyDescent="0.2">
      <c r="A20">
        <f>'Shipment Data for Provisioning'!B25</f>
        <v>0</v>
      </c>
      <c r="B20">
        <f>'Shipment Data for Provisioning'!C25</f>
        <v>0</v>
      </c>
      <c r="C20">
        <f>'Shipment Data for Provisioning'!D25</f>
        <v>0</v>
      </c>
      <c r="D20">
        <f>'Shipment Data for Provisioning'!E25</f>
        <v>0</v>
      </c>
      <c r="E20">
        <f>'Shipment Data for Provisioning'!F25</f>
        <v>0</v>
      </c>
      <c r="F20">
        <f>'Shipment Data for Provisioning'!G25</f>
        <v>0</v>
      </c>
      <c r="G20">
        <f>'Shipment Data for Provisioning'!H25</f>
        <v>0</v>
      </c>
      <c r="H20">
        <f>'Shipment Data for Provisioning'!I25</f>
        <v>0</v>
      </c>
      <c r="I20" t="e">
        <f>VLOOKUP(B20,'Location Data'!$C$5:$G$1004,4,FALSE)</f>
        <v>#N/A</v>
      </c>
      <c r="J20" t="e">
        <f>VLOOKUP(B20,'Location Data'!$C$5:$G$1004,5,FALSE)</f>
        <v>#N/A</v>
      </c>
      <c r="K20" t="e">
        <f>VLOOKUP(C20,'Location Data'!$C$5:$G$1004,4,FALSE)</f>
        <v>#N/A</v>
      </c>
      <c r="L20" t="e">
        <f>VLOOKUP(C20,'Location Data'!$C$5:$G$1004,5,FALSE)</f>
        <v>#N/A</v>
      </c>
    </row>
    <row r="21" spans="1:12" x14ac:dyDescent="0.2">
      <c r="A21">
        <f>'Shipment Data for Provisioning'!B26</f>
        <v>0</v>
      </c>
      <c r="B21">
        <f>'Shipment Data for Provisioning'!C26</f>
        <v>0</v>
      </c>
      <c r="C21">
        <f>'Shipment Data for Provisioning'!D26</f>
        <v>0</v>
      </c>
      <c r="D21">
        <f>'Shipment Data for Provisioning'!E26</f>
        <v>0</v>
      </c>
      <c r="E21">
        <f>'Shipment Data for Provisioning'!F26</f>
        <v>0</v>
      </c>
      <c r="F21">
        <f>'Shipment Data for Provisioning'!G26</f>
        <v>0</v>
      </c>
      <c r="G21">
        <f>'Shipment Data for Provisioning'!H26</f>
        <v>0</v>
      </c>
      <c r="H21">
        <f>'Shipment Data for Provisioning'!I26</f>
        <v>0</v>
      </c>
      <c r="I21" t="e">
        <f>VLOOKUP(B21,'Location Data'!$C$5:$G$1004,4,FALSE)</f>
        <v>#N/A</v>
      </c>
      <c r="J21" t="e">
        <f>VLOOKUP(B21,'Location Data'!$C$5:$G$1004,5,FALSE)</f>
        <v>#N/A</v>
      </c>
      <c r="K21" t="e">
        <f>VLOOKUP(C21,'Location Data'!$C$5:$G$1004,4,FALSE)</f>
        <v>#N/A</v>
      </c>
      <c r="L21" t="e">
        <f>VLOOKUP(C21,'Location Data'!$C$5:$G$1004,5,FALSE)</f>
        <v>#N/A</v>
      </c>
    </row>
    <row r="22" spans="1:12" x14ac:dyDescent="0.2">
      <c r="A22">
        <f>'Shipment Data for Provisioning'!B27</f>
        <v>0</v>
      </c>
      <c r="B22">
        <f>'Shipment Data for Provisioning'!C27</f>
        <v>0</v>
      </c>
      <c r="C22">
        <f>'Shipment Data for Provisioning'!D27</f>
        <v>0</v>
      </c>
      <c r="D22">
        <f>'Shipment Data for Provisioning'!E27</f>
        <v>0</v>
      </c>
      <c r="E22">
        <f>'Shipment Data for Provisioning'!F27</f>
        <v>0</v>
      </c>
      <c r="F22">
        <f>'Shipment Data for Provisioning'!G27</f>
        <v>0</v>
      </c>
      <c r="G22">
        <f>'Shipment Data for Provisioning'!H27</f>
        <v>0</v>
      </c>
      <c r="H22">
        <f>'Shipment Data for Provisioning'!I27</f>
        <v>0</v>
      </c>
      <c r="I22" t="e">
        <f>VLOOKUP(B22,'Location Data'!$C$5:$G$1004,4,FALSE)</f>
        <v>#N/A</v>
      </c>
      <c r="J22" t="e">
        <f>VLOOKUP(B22,'Location Data'!$C$5:$G$1004,5,FALSE)</f>
        <v>#N/A</v>
      </c>
      <c r="K22" t="e">
        <f>VLOOKUP(C22,'Location Data'!$C$5:$G$1004,4,FALSE)</f>
        <v>#N/A</v>
      </c>
      <c r="L22" t="e">
        <f>VLOOKUP(C22,'Location Data'!$C$5:$G$1004,5,FALSE)</f>
        <v>#N/A</v>
      </c>
    </row>
    <row r="23" spans="1:12" x14ac:dyDescent="0.2">
      <c r="A23">
        <f>'Shipment Data for Provisioning'!B28</f>
        <v>0</v>
      </c>
      <c r="B23">
        <f>'Shipment Data for Provisioning'!C28</f>
        <v>0</v>
      </c>
      <c r="C23">
        <f>'Shipment Data for Provisioning'!D28</f>
        <v>0</v>
      </c>
      <c r="D23">
        <f>'Shipment Data for Provisioning'!E28</f>
        <v>0</v>
      </c>
      <c r="E23">
        <f>'Shipment Data for Provisioning'!F28</f>
        <v>0</v>
      </c>
      <c r="F23">
        <f>'Shipment Data for Provisioning'!G28</f>
        <v>0</v>
      </c>
      <c r="G23">
        <f>'Shipment Data for Provisioning'!H28</f>
        <v>0</v>
      </c>
      <c r="H23">
        <f>'Shipment Data for Provisioning'!I28</f>
        <v>0</v>
      </c>
      <c r="I23" t="e">
        <f>VLOOKUP(B23,'Location Data'!$C$5:$G$1004,4,FALSE)</f>
        <v>#N/A</v>
      </c>
      <c r="J23" t="e">
        <f>VLOOKUP(B23,'Location Data'!$C$5:$G$1004,5,FALSE)</f>
        <v>#N/A</v>
      </c>
      <c r="K23" t="e">
        <f>VLOOKUP(C23,'Location Data'!$C$5:$G$1004,4,FALSE)</f>
        <v>#N/A</v>
      </c>
      <c r="L23" t="e">
        <f>VLOOKUP(C23,'Location Data'!$C$5:$G$1004,5,FALSE)</f>
        <v>#N/A</v>
      </c>
    </row>
    <row r="24" spans="1:12" x14ac:dyDescent="0.2">
      <c r="A24">
        <f>'Shipment Data for Provisioning'!B29</f>
        <v>0</v>
      </c>
      <c r="B24">
        <f>'Shipment Data for Provisioning'!C29</f>
        <v>0</v>
      </c>
      <c r="C24">
        <f>'Shipment Data for Provisioning'!D29</f>
        <v>0</v>
      </c>
      <c r="D24">
        <f>'Shipment Data for Provisioning'!E29</f>
        <v>0</v>
      </c>
      <c r="E24">
        <f>'Shipment Data for Provisioning'!F29</f>
        <v>0</v>
      </c>
      <c r="F24">
        <f>'Shipment Data for Provisioning'!G29</f>
        <v>0</v>
      </c>
      <c r="G24">
        <f>'Shipment Data for Provisioning'!H29</f>
        <v>0</v>
      </c>
      <c r="H24">
        <f>'Shipment Data for Provisioning'!I29</f>
        <v>0</v>
      </c>
      <c r="I24" t="e">
        <f>VLOOKUP(B24,'Location Data'!$C$5:$G$1004,4,FALSE)</f>
        <v>#N/A</v>
      </c>
      <c r="J24" t="e">
        <f>VLOOKUP(B24,'Location Data'!$C$5:$G$1004,5,FALSE)</f>
        <v>#N/A</v>
      </c>
      <c r="K24" t="e">
        <f>VLOOKUP(C24,'Location Data'!$C$5:$G$1004,4,FALSE)</f>
        <v>#N/A</v>
      </c>
      <c r="L24" t="e">
        <f>VLOOKUP(C24,'Location Data'!$C$5:$G$1004,5,FALSE)</f>
        <v>#N/A</v>
      </c>
    </row>
    <row r="25" spans="1:12" x14ac:dyDescent="0.2">
      <c r="A25">
        <f>'Shipment Data for Provisioning'!B30</f>
        <v>0</v>
      </c>
      <c r="B25">
        <f>'Shipment Data for Provisioning'!C30</f>
        <v>0</v>
      </c>
      <c r="C25">
        <f>'Shipment Data for Provisioning'!D30</f>
        <v>0</v>
      </c>
      <c r="D25">
        <f>'Shipment Data for Provisioning'!E30</f>
        <v>0</v>
      </c>
      <c r="E25">
        <f>'Shipment Data for Provisioning'!F30</f>
        <v>0</v>
      </c>
      <c r="F25">
        <f>'Shipment Data for Provisioning'!G30</f>
        <v>0</v>
      </c>
      <c r="G25">
        <f>'Shipment Data for Provisioning'!H30</f>
        <v>0</v>
      </c>
      <c r="H25">
        <f>'Shipment Data for Provisioning'!I30</f>
        <v>0</v>
      </c>
      <c r="I25" t="e">
        <f>VLOOKUP(B25,'Location Data'!$C$5:$G$1004,4,FALSE)</f>
        <v>#N/A</v>
      </c>
      <c r="J25" t="e">
        <f>VLOOKUP(B25,'Location Data'!$C$5:$G$1004,5,FALSE)</f>
        <v>#N/A</v>
      </c>
      <c r="K25" t="e">
        <f>VLOOKUP(C25,'Location Data'!$C$5:$G$1004,4,FALSE)</f>
        <v>#N/A</v>
      </c>
      <c r="L25" t="e">
        <f>VLOOKUP(C25,'Location Data'!$C$5:$G$1004,5,FALSE)</f>
        <v>#N/A</v>
      </c>
    </row>
    <row r="26" spans="1:12" x14ac:dyDescent="0.2">
      <c r="A26">
        <f>'Shipment Data for Provisioning'!B31</f>
        <v>0</v>
      </c>
      <c r="B26">
        <f>'Shipment Data for Provisioning'!C31</f>
        <v>0</v>
      </c>
      <c r="C26">
        <f>'Shipment Data for Provisioning'!D31</f>
        <v>0</v>
      </c>
      <c r="D26">
        <f>'Shipment Data for Provisioning'!E31</f>
        <v>0</v>
      </c>
      <c r="E26">
        <f>'Shipment Data for Provisioning'!F31</f>
        <v>0</v>
      </c>
      <c r="F26">
        <f>'Shipment Data for Provisioning'!G31</f>
        <v>0</v>
      </c>
      <c r="G26">
        <f>'Shipment Data for Provisioning'!H31</f>
        <v>0</v>
      </c>
      <c r="H26">
        <f>'Shipment Data for Provisioning'!I31</f>
        <v>0</v>
      </c>
      <c r="I26" t="e">
        <f>VLOOKUP(B26,'Location Data'!$C$5:$G$1004,4,FALSE)</f>
        <v>#N/A</v>
      </c>
      <c r="J26" t="e">
        <f>VLOOKUP(B26,'Location Data'!$C$5:$G$1004,5,FALSE)</f>
        <v>#N/A</v>
      </c>
      <c r="K26" t="e">
        <f>VLOOKUP(C26,'Location Data'!$C$5:$G$1004,4,FALSE)</f>
        <v>#N/A</v>
      </c>
      <c r="L26" t="e">
        <f>VLOOKUP(C26,'Location Data'!$C$5:$G$1004,5,FALSE)</f>
        <v>#N/A</v>
      </c>
    </row>
    <row r="27" spans="1:12" x14ac:dyDescent="0.2">
      <c r="A27">
        <f>'Shipment Data for Provisioning'!B32</f>
        <v>0</v>
      </c>
      <c r="B27">
        <f>'Shipment Data for Provisioning'!C32</f>
        <v>0</v>
      </c>
      <c r="C27">
        <f>'Shipment Data for Provisioning'!D32</f>
        <v>0</v>
      </c>
      <c r="D27">
        <f>'Shipment Data for Provisioning'!E32</f>
        <v>0</v>
      </c>
      <c r="E27">
        <f>'Shipment Data for Provisioning'!F32</f>
        <v>0</v>
      </c>
      <c r="F27">
        <f>'Shipment Data for Provisioning'!G32</f>
        <v>0</v>
      </c>
      <c r="G27">
        <f>'Shipment Data for Provisioning'!H32</f>
        <v>0</v>
      </c>
      <c r="H27">
        <f>'Shipment Data for Provisioning'!I32</f>
        <v>0</v>
      </c>
      <c r="I27" t="e">
        <f>VLOOKUP(B27,'Location Data'!$C$5:$G$1004,4,FALSE)</f>
        <v>#N/A</v>
      </c>
      <c r="J27" t="e">
        <f>VLOOKUP(B27,'Location Data'!$C$5:$G$1004,5,FALSE)</f>
        <v>#N/A</v>
      </c>
      <c r="K27" t="e">
        <f>VLOOKUP(C27,'Location Data'!$C$5:$G$1004,4,FALSE)</f>
        <v>#N/A</v>
      </c>
      <c r="L27" t="e">
        <f>VLOOKUP(C27,'Location Data'!$C$5:$G$1004,5,FALSE)</f>
        <v>#N/A</v>
      </c>
    </row>
    <row r="28" spans="1:12" x14ac:dyDescent="0.2">
      <c r="A28">
        <f>'Shipment Data for Provisioning'!B33</f>
        <v>0</v>
      </c>
      <c r="B28">
        <f>'Shipment Data for Provisioning'!C33</f>
        <v>0</v>
      </c>
      <c r="C28">
        <f>'Shipment Data for Provisioning'!D33</f>
        <v>0</v>
      </c>
      <c r="D28">
        <f>'Shipment Data for Provisioning'!E33</f>
        <v>0</v>
      </c>
      <c r="E28">
        <f>'Shipment Data for Provisioning'!F33</f>
        <v>0</v>
      </c>
      <c r="F28">
        <f>'Shipment Data for Provisioning'!G33</f>
        <v>0</v>
      </c>
      <c r="G28">
        <f>'Shipment Data for Provisioning'!H33</f>
        <v>0</v>
      </c>
      <c r="H28">
        <f>'Shipment Data for Provisioning'!I33</f>
        <v>0</v>
      </c>
      <c r="I28" t="e">
        <f>VLOOKUP(B28,'Location Data'!$C$5:$G$1004,4,FALSE)</f>
        <v>#N/A</v>
      </c>
      <c r="J28" t="e">
        <f>VLOOKUP(B28,'Location Data'!$C$5:$G$1004,5,FALSE)</f>
        <v>#N/A</v>
      </c>
      <c r="K28" t="e">
        <f>VLOOKUP(C28,'Location Data'!$C$5:$G$1004,4,FALSE)</f>
        <v>#N/A</v>
      </c>
      <c r="L28" t="e">
        <f>VLOOKUP(C28,'Location Data'!$C$5:$G$1004,5,FALSE)</f>
        <v>#N/A</v>
      </c>
    </row>
    <row r="29" spans="1:12" x14ac:dyDescent="0.2">
      <c r="A29">
        <f>'Shipment Data for Provisioning'!B34</f>
        <v>0</v>
      </c>
      <c r="B29">
        <f>'Shipment Data for Provisioning'!C34</f>
        <v>0</v>
      </c>
      <c r="C29">
        <f>'Shipment Data for Provisioning'!D34</f>
        <v>0</v>
      </c>
      <c r="D29">
        <f>'Shipment Data for Provisioning'!E34</f>
        <v>0</v>
      </c>
      <c r="E29">
        <f>'Shipment Data for Provisioning'!F34</f>
        <v>0</v>
      </c>
      <c r="F29">
        <f>'Shipment Data for Provisioning'!G34</f>
        <v>0</v>
      </c>
      <c r="G29">
        <f>'Shipment Data for Provisioning'!H34</f>
        <v>0</v>
      </c>
      <c r="H29">
        <f>'Shipment Data for Provisioning'!I34</f>
        <v>0</v>
      </c>
      <c r="I29" t="e">
        <f>VLOOKUP(B29,'Location Data'!$C$5:$G$1004,4,FALSE)</f>
        <v>#N/A</v>
      </c>
      <c r="J29" t="e">
        <f>VLOOKUP(B29,'Location Data'!$C$5:$G$1004,5,FALSE)</f>
        <v>#N/A</v>
      </c>
      <c r="K29" t="e">
        <f>VLOOKUP(C29,'Location Data'!$C$5:$G$1004,4,FALSE)</f>
        <v>#N/A</v>
      </c>
      <c r="L29" t="e">
        <f>VLOOKUP(C29,'Location Data'!$C$5:$G$1004,5,FALSE)</f>
        <v>#N/A</v>
      </c>
    </row>
    <row r="30" spans="1:12" x14ac:dyDescent="0.2">
      <c r="A30">
        <f>'Shipment Data for Provisioning'!B35</f>
        <v>0</v>
      </c>
      <c r="B30">
        <f>'Shipment Data for Provisioning'!C35</f>
        <v>0</v>
      </c>
      <c r="C30">
        <f>'Shipment Data for Provisioning'!D35</f>
        <v>0</v>
      </c>
      <c r="D30">
        <f>'Shipment Data for Provisioning'!E35</f>
        <v>0</v>
      </c>
      <c r="E30">
        <f>'Shipment Data for Provisioning'!F35</f>
        <v>0</v>
      </c>
      <c r="F30">
        <f>'Shipment Data for Provisioning'!G35</f>
        <v>0</v>
      </c>
      <c r="G30">
        <f>'Shipment Data for Provisioning'!H35</f>
        <v>0</v>
      </c>
      <c r="H30">
        <f>'Shipment Data for Provisioning'!I35</f>
        <v>0</v>
      </c>
      <c r="I30" t="e">
        <f>VLOOKUP(B30,'Location Data'!$C$5:$G$1004,4,FALSE)</f>
        <v>#N/A</v>
      </c>
      <c r="J30" t="e">
        <f>VLOOKUP(B30,'Location Data'!$C$5:$G$1004,5,FALSE)</f>
        <v>#N/A</v>
      </c>
      <c r="K30" t="e">
        <f>VLOOKUP(C30,'Location Data'!$C$5:$G$1004,4,FALSE)</f>
        <v>#N/A</v>
      </c>
      <c r="L30" t="e">
        <f>VLOOKUP(C30,'Location Data'!$C$5:$G$1004,5,FALSE)</f>
        <v>#N/A</v>
      </c>
    </row>
    <row r="31" spans="1:12" x14ac:dyDescent="0.2">
      <c r="A31">
        <f>'Shipment Data for Provisioning'!B36</f>
        <v>0</v>
      </c>
      <c r="B31">
        <f>'Shipment Data for Provisioning'!C36</f>
        <v>0</v>
      </c>
      <c r="C31">
        <f>'Shipment Data for Provisioning'!D36</f>
        <v>0</v>
      </c>
      <c r="D31">
        <f>'Shipment Data for Provisioning'!E36</f>
        <v>0</v>
      </c>
      <c r="E31">
        <f>'Shipment Data for Provisioning'!F36</f>
        <v>0</v>
      </c>
      <c r="F31">
        <f>'Shipment Data for Provisioning'!G36</f>
        <v>0</v>
      </c>
      <c r="G31">
        <f>'Shipment Data for Provisioning'!H36</f>
        <v>0</v>
      </c>
      <c r="H31">
        <f>'Shipment Data for Provisioning'!I36</f>
        <v>0</v>
      </c>
      <c r="I31" t="e">
        <f>VLOOKUP(B31,'Location Data'!$C$5:$G$1004,4,FALSE)</f>
        <v>#N/A</v>
      </c>
      <c r="J31" t="e">
        <f>VLOOKUP(B31,'Location Data'!$C$5:$G$1004,5,FALSE)</f>
        <v>#N/A</v>
      </c>
      <c r="K31" t="e">
        <f>VLOOKUP(C31,'Location Data'!$C$5:$G$1004,4,FALSE)</f>
        <v>#N/A</v>
      </c>
      <c r="L31" t="e">
        <f>VLOOKUP(C31,'Location Data'!$C$5:$G$1004,5,FALSE)</f>
        <v>#N/A</v>
      </c>
    </row>
    <row r="32" spans="1:12" x14ac:dyDescent="0.2">
      <c r="A32">
        <f>'Shipment Data for Provisioning'!B37</f>
        <v>0</v>
      </c>
      <c r="B32">
        <f>'Shipment Data for Provisioning'!C37</f>
        <v>0</v>
      </c>
      <c r="C32">
        <f>'Shipment Data for Provisioning'!D37</f>
        <v>0</v>
      </c>
      <c r="D32">
        <f>'Shipment Data for Provisioning'!E37</f>
        <v>0</v>
      </c>
      <c r="E32">
        <f>'Shipment Data for Provisioning'!F37</f>
        <v>0</v>
      </c>
      <c r="F32">
        <f>'Shipment Data for Provisioning'!G37</f>
        <v>0</v>
      </c>
      <c r="G32">
        <f>'Shipment Data for Provisioning'!H37</f>
        <v>0</v>
      </c>
      <c r="H32">
        <f>'Shipment Data for Provisioning'!I37</f>
        <v>0</v>
      </c>
      <c r="I32" t="e">
        <f>VLOOKUP(B32,'Location Data'!$C$5:$G$1004,4,FALSE)</f>
        <v>#N/A</v>
      </c>
      <c r="J32" t="e">
        <f>VLOOKUP(B32,'Location Data'!$C$5:$G$1004,5,FALSE)</f>
        <v>#N/A</v>
      </c>
      <c r="K32" t="e">
        <f>VLOOKUP(C32,'Location Data'!$C$5:$G$1004,4,FALSE)</f>
        <v>#N/A</v>
      </c>
      <c r="L32" t="e">
        <f>VLOOKUP(C32,'Location Data'!$C$5:$G$1004,5,FALSE)</f>
        <v>#N/A</v>
      </c>
    </row>
    <row r="33" spans="1:12" x14ac:dyDescent="0.2">
      <c r="A33">
        <f>'Shipment Data for Provisioning'!B38</f>
        <v>0</v>
      </c>
      <c r="B33">
        <f>'Shipment Data for Provisioning'!C38</f>
        <v>0</v>
      </c>
      <c r="C33">
        <f>'Shipment Data for Provisioning'!D38</f>
        <v>0</v>
      </c>
      <c r="D33">
        <f>'Shipment Data for Provisioning'!E38</f>
        <v>0</v>
      </c>
      <c r="E33">
        <f>'Shipment Data for Provisioning'!F38</f>
        <v>0</v>
      </c>
      <c r="F33">
        <f>'Shipment Data for Provisioning'!G38</f>
        <v>0</v>
      </c>
      <c r="G33">
        <f>'Shipment Data for Provisioning'!H38</f>
        <v>0</v>
      </c>
      <c r="H33">
        <f>'Shipment Data for Provisioning'!I38</f>
        <v>0</v>
      </c>
      <c r="I33" t="e">
        <f>VLOOKUP(B33,'Location Data'!$C$5:$G$1004,4,FALSE)</f>
        <v>#N/A</v>
      </c>
      <c r="J33" t="e">
        <f>VLOOKUP(B33,'Location Data'!$C$5:$G$1004,5,FALSE)</f>
        <v>#N/A</v>
      </c>
      <c r="K33" t="e">
        <f>VLOOKUP(C33,'Location Data'!$C$5:$G$1004,4,FALSE)</f>
        <v>#N/A</v>
      </c>
      <c r="L33" t="e">
        <f>VLOOKUP(C33,'Location Data'!$C$5:$G$1004,5,FALSE)</f>
        <v>#N/A</v>
      </c>
    </row>
    <row r="34" spans="1:12" x14ac:dyDescent="0.2">
      <c r="A34">
        <f>'Shipment Data for Provisioning'!B39</f>
        <v>0</v>
      </c>
      <c r="B34">
        <f>'Shipment Data for Provisioning'!C39</f>
        <v>0</v>
      </c>
      <c r="C34">
        <f>'Shipment Data for Provisioning'!D39</f>
        <v>0</v>
      </c>
      <c r="D34">
        <f>'Shipment Data for Provisioning'!E39</f>
        <v>0</v>
      </c>
      <c r="E34">
        <f>'Shipment Data for Provisioning'!F39</f>
        <v>0</v>
      </c>
      <c r="F34">
        <f>'Shipment Data for Provisioning'!G39</f>
        <v>0</v>
      </c>
      <c r="G34">
        <f>'Shipment Data for Provisioning'!H39</f>
        <v>0</v>
      </c>
      <c r="H34">
        <f>'Shipment Data for Provisioning'!I39</f>
        <v>0</v>
      </c>
      <c r="I34" t="e">
        <f>VLOOKUP(B34,'Location Data'!$C$5:$G$1004,4,FALSE)</f>
        <v>#N/A</v>
      </c>
      <c r="J34" t="e">
        <f>VLOOKUP(B34,'Location Data'!$C$5:$G$1004,5,FALSE)</f>
        <v>#N/A</v>
      </c>
      <c r="K34" t="e">
        <f>VLOOKUP(C34,'Location Data'!$C$5:$G$1004,4,FALSE)</f>
        <v>#N/A</v>
      </c>
      <c r="L34" t="e">
        <f>VLOOKUP(C34,'Location Data'!$C$5:$G$1004,5,FALSE)</f>
        <v>#N/A</v>
      </c>
    </row>
    <row r="35" spans="1:12" x14ac:dyDescent="0.2">
      <c r="A35">
        <f>'Shipment Data for Provisioning'!B40</f>
        <v>0</v>
      </c>
      <c r="B35">
        <f>'Shipment Data for Provisioning'!C40</f>
        <v>0</v>
      </c>
      <c r="C35">
        <f>'Shipment Data for Provisioning'!D40</f>
        <v>0</v>
      </c>
      <c r="D35">
        <f>'Shipment Data for Provisioning'!E40</f>
        <v>0</v>
      </c>
      <c r="E35">
        <f>'Shipment Data for Provisioning'!F40</f>
        <v>0</v>
      </c>
      <c r="F35">
        <f>'Shipment Data for Provisioning'!G40</f>
        <v>0</v>
      </c>
      <c r="G35">
        <f>'Shipment Data for Provisioning'!H40</f>
        <v>0</v>
      </c>
      <c r="H35">
        <f>'Shipment Data for Provisioning'!I40</f>
        <v>0</v>
      </c>
      <c r="I35" t="e">
        <f>VLOOKUP(B35,'Location Data'!$C$5:$G$1004,4,FALSE)</f>
        <v>#N/A</v>
      </c>
      <c r="J35" t="e">
        <f>VLOOKUP(B35,'Location Data'!$C$5:$G$1004,5,FALSE)</f>
        <v>#N/A</v>
      </c>
      <c r="K35" t="e">
        <f>VLOOKUP(C35,'Location Data'!$C$5:$G$1004,4,FALSE)</f>
        <v>#N/A</v>
      </c>
      <c r="L35" t="e">
        <f>VLOOKUP(C35,'Location Data'!$C$5:$G$1004,5,FALSE)</f>
        <v>#N/A</v>
      </c>
    </row>
    <row r="36" spans="1:12" x14ac:dyDescent="0.2">
      <c r="A36">
        <f>'Shipment Data for Provisioning'!B41</f>
        <v>0</v>
      </c>
      <c r="B36">
        <f>'Shipment Data for Provisioning'!C41</f>
        <v>0</v>
      </c>
      <c r="C36">
        <f>'Shipment Data for Provisioning'!D41</f>
        <v>0</v>
      </c>
      <c r="D36">
        <f>'Shipment Data for Provisioning'!E41</f>
        <v>0</v>
      </c>
      <c r="E36">
        <f>'Shipment Data for Provisioning'!F41</f>
        <v>0</v>
      </c>
      <c r="F36">
        <f>'Shipment Data for Provisioning'!G41</f>
        <v>0</v>
      </c>
      <c r="G36">
        <f>'Shipment Data for Provisioning'!H41</f>
        <v>0</v>
      </c>
      <c r="H36">
        <f>'Shipment Data for Provisioning'!I41</f>
        <v>0</v>
      </c>
      <c r="I36" t="e">
        <f>VLOOKUP(B36,'Location Data'!$C$5:$G$1004,4,FALSE)</f>
        <v>#N/A</v>
      </c>
      <c r="J36" t="e">
        <f>VLOOKUP(B36,'Location Data'!$C$5:$G$1004,5,FALSE)</f>
        <v>#N/A</v>
      </c>
      <c r="K36" t="e">
        <f>VLOOKUP(C36,'Location Data'!$C$5:$G$1004,4,FALSE)</f>
        <v>#N/A</v>
      </c>
      <c r="L36" t="e">
        <f>VLOOKUP(C36,'Location Data'!$C$5:$G$1004,5,FALSE)</f>
        <v>#N/A</v>
      </c>
    </row>
    <row r="37" spans="1:12" x14ac:dyDescent="0.2">
      <c r="A37">
        <f>'Shipment Data for Provisioning'!B42</f>
        <v>0</v>
      </c>
      <c r="B37">
        <f>'Shipment Data for Provisioning'!C42</f>
        <v>0</v>
      </c>
      <c r="C37">
        <f>'Shipment Data for Provisioning'!D42</f>
        <v>0</v>
      </c>
      <c r="D37">
        <f>'Shipment Data for Provisioning'!E42</f>
        <v>0</v>
      </c>
      <c r="E37">
        <f>'Shipment Data for Provisioning'!F42</f>
        <v>0</v>
      </c>
      <c r="F37">
        <f>'Shipment Data for Provisioning'!G42</f>
        <v>0</v>
      </c>
      <c r="G37">
        <f>'Shipment Data for Provisioning'!H42</f>
        <v>0</v>
      </c>
      <c r="H37">
        <f>'Shipment Data for Provisioning'!I42</f>
        <v>0</v>
      </c>
      <c r="I37" t="e">
        <f>VLOOKUP(B37,'Location Data'!$C$5:$G$1004,4,FALSE)</f>
        <v>#N/A</v>
      </c>
      <c r="J37" t="e">
        <f>VLOOKUP(B37,'Location Data'!$C$5:$G$1004,5,FALSE)</f>
        <v>#N/A</v>
      </c>
      <c r="K37" t="e">
        <f>VLOOKUP(C37,'Location Data'!$C$5:$G$1004,4,FALSE)</f>
        <v>#N/A</v>
      </c>
      <c r="L37" t="e">
        <f>VLOOKUP(C37,'Location Data'!$C$5:$G$1004,5,FALSE)</f>
        <v>#N/A</v>
      </c>
    </row>
    <row r="38" spans="1:12" x14ac:dyDescent="0.2">
      <c r="A38">
        <f>'Shipment Data for Provisioning'!B43</f>
        <v>0</v>
      </c>
      <c r="B38">
        <f>'Shipment Data for Provisioning'!C43</f>
        <v>0</v>
      </c>
      <c r="C38">
        <f>'Shipment Data for Provisioning'!D43</f>
        <v>0</v>
      </c>
      <c r="D38">
        <f>'Shipment Data for Provisioning'!E43</f>
        <v>0</v>
      </c>
      <c r="E38">
        <f>'Shipment Data for Provisioning'!F43</f>
        <v>0</v>
      </c>
      <c r="F38">
        <f>'Shipment Data for Provisioning'!G43</f>
        <v>0</v>
      </c>
      <c r="G38">
        <f>'Shipment Data for Provisioning'!H43</f>
        <v>0</v>
      </c>
      <c r="H38">
        <f>'Shipment Data for Provisioning'!I43</f>
        <v>0</v>
      </c>
      <c r="I38" t="e">
        <f>VLOOKUP(B38,'Location Data'!$C$5:$G$1004,4,FALSE)</f>
        <v>#N/A</v>
      </c>
      <c r="J38" t="e">
        <f>VLOOKUP(B38,'Location Data'!$C$5:$G$1004,5,FALSE)</f>
        <v>#N/A</v>
      </c>
      <c r="K38" t="e">
        <f>VLOOKUP(C38,'Location Data'!$C$5:$G$1004,4,FALSE)</f>
        <v>#N/A</v>
      </c>
      <c r="L38" t="e">
        <f>VLOOKUP(C38,'Location Data'!$C$5:$G$1004,5,FALSE)</f>
        <v>#N/A</v>
      </c>
    </row>
    <row r="39" spans="1:12" x14ac:dyDescent="0.2">
      <c r="A39">
        <f>'Shipment Data for Provisioning'!B44</f>
        <v>0</v>
      </c>
      <c r="B39">
        <f>'Shipment Data for Provisioning'!C44</f>
        <v>0</v>
      </c>
      <c r="C39">
        <f>'Shipment Data for Provisioning'!D44</f>
        <v>0</v>
      </c>
      <c r="D39">
        <f>'Shipment Data for Provisioning'!E44</f>
        <v>0</v>
      </c>
      <c r="E39">
        <f>'Shipment Data for Provisioning'!F44</f>
        <v>0</v>
      </c>
      <c r="F39">
        <f>'Shipment Data for Provisioning'!G44</f>
        <v>0</v>
      </c>
      <c r="G39">
        <f>'Shipment Data for Provisioning'!H44</f>
        <v>0</v>
      </c>
      <c r="H39">
        <f>'Shipment Data for Provisioning'!I44</f>
        <v>0</v>
      </c>
      <c r="I39" t="e">
        <f>VLOOKUP(B39,'Location Data'!$C$5:$G$1004,4,FALSE)</f>
        <v>#N/A</v>
      </c>
      <c r="J39" t="e">
        <f>VLOOKUP(B39,'Location Data'!$C$5:$G$1004,5,FALSE)</f>
        <v>#N/A</v>
      </c>
      <c r="K39" t="e">
        <f>VLOOKUP(C39,'Location Data'!$C$5:$G$1004,4,FALSE)</f>
        <v>#N/A</v>
      </c>
      <c r="L39" t="e">
        <f>VLOOKUP(C39,'Location Data'!$C$5:$G$1004,5,FALSE)</f>
        <v>#N/A</v>
      </c>
    </row>
    <row r="40" spans="1:12" x14ac:dyDescent="0.2">
      <c r="A40">
        <f>'Shipment Data for Provisioning'!B45</f>
        <v>0</v>
      </c>
      <c r="B40">
        <f>'Shipment Data for Provisioning'!C45</f>
        <v>0</v>
      </c>
      <c r="C40">
        <f>'Shipment Data for Provisioning'!D45</f>
        <v>0</v>
      </c>
      <c r="D40">
        <f>'Shipment Data for Provisioning'!E45</f>
        <v>0</v>
      </c>
      <c r="E40">
        <f>'Shipment Data for Provisioning'!F45</f>
        <v>0</v>
      </c>
      <c r="F40">
        <f>'Shipment Data for Provisioning'!G45</f>
        <v>0</v>
      </c>
      <c r="G40">
        <f>'Shipment Data for Provisioning'!H45</f>
        <v>0</v>
      </c>
      <c r="H40">
        <f>'Shipment Data for Provisioning'!I45</f>
        <v>0</v>
      </c>
      <c r="I40" t="e">
        <f>VLOOKUP(B40,'Location Data'!$C$5:$G$1004,4,FALSE)</f>
        <v>#N/A</v>
      </c>
      <c r="J40" t="e">
        <f>VLOOKUP(B40,'Location Data'!$C$5:$G$1004,5,FALSE)</f>
        <v>#N/A</v>
      </c>
      <c r="K40" t="e">
        <f>VLOOKUP(C40,'Location Data'!$C$5:$G$1004,4,FALSE)</f>
        <v>#N/A</v>
      </c>
      <c r="L40" t="e">
        <f>VLOOKUP(C40,'Location Data'!$C$5:$G$1004,5,FALSE)</f>
        <v>#N/A</v>
      </c>
    </row>
    <row r="41" spans="1:12" x14ac:dyDescent="0.2">
      <c r="A41">
        <f>'Shipment Data for Provisioning'!B46</f>
        <v>0</v>
      </c>
      <c r="B41">
        <f>'Shipment Data for Provisioning'!C46</f>
        <v>0</v>
      </c>
      <c r="C41">
        <f>'Shipment Data for Provisioning'!D46</f>
        <v>0</v>
      </c>
      <c r="D41">
        <f>'Shipment Data for Provisioning'!E46</f>
        <v>0</v>
      </c>
      <c r="E41">
        <f>'Shipment Data for Provisioning'!F46</f>
        <v>0</v>
      </c>
      <c r="F41">
        <f>'Shipment Data for Provisioning'!G46</f>
        <v>0</v>
      </c>
      <c r="G41">
        <f>'Shipment Data for Provisioning'!H46</f>
        <v>0</v>
      </c>
      <c r="H41">
        <f>'Shipment Data for Provisioning'!I46</f>
        <v>0</v>
      </c>
      <c r="I41" t="e">
        <f>VLOOKUP(B41,'Location Data'!$C$5:$G$1004,4,FALSE)</f>
        <v>#N/A</v>
      </c>
      <c r="J41" t="e">
        <f>VLOOKUP(B41,'Location Data'!$C$5:$G$1004,5,FALSE)</f>
        <v>#N/A</v>
      </c>
      <c r="K41" t="e">
        <f>VLOOKUP(C41,'Location Data'!$C$5:$G$1004,4,FALSE)</f>
        <v>#N/A</v>
      </c>
      <c r="L41" t="e">
        <f>VLOOKUP(C41,'Location Data'!$C$5:$G$1004,5,FALSE)</f>
        <v>#N/A</v>
      </c>
    </row>
    <row r="42" spans="1:12" x14ac:dyDescent="0.2">
      <c r="A42">
        <f>'Shipment Data for Provisioning'!B47</f>
        <v>0</v>
      </c>
      <c r="B42">
        <f>'Shipment Data for Provisioning'!C47</f>
        <v>0</v>
      </c>
      <c r="C42">
        <f>'Shipment Data for Provisioning'!D47</f>
        <v>0</v>
      </c>
      <c r="D42">
        <f>'Shipment Data for Provisioning'!E47</f>
        <v>0</v>
      </c>
      <c r="E42">
        <f>'Shipment Data for Provisioning'!F47</f>
        <v>0</v>
      </c>
      <c r="F42">
        <f>'Shipment Data for Provisioning'!G47</f>
        <v>0</v>
      </c>
      <c r="G42">
        <f>'Shipment Data for Provisioning'!H47</f>
        <v>0</v>
      </c>
      <c r="H42">
        <f>'Shipment Data for Provisioning'!I47</f>
        <v>0</v>
      </c>
      <c r="I42" t="e">
        <f>VLOOKUP(B42,'Location Data'!$C$5:$G$1004,4,FALSE)</f>
        <v>#N/A</v>
      </c>
      <c r="J42" t="e">
        <f>VLOOKUP(B42,'Location Data'!$C$5:$G$1004,5,FALSE)</f>
        <v>#N/A</v>
      </c>
      <c r="K42" t="e">
        <f>VLOOKUP(C42,'Location Data'!$C$5:$G$1004,4,FALSE)</f>
        <v>#N/A</v>
      </c>
      <c r="L42" t="e">
        <f>VLOOKUP(C42,'Location Data'!$C$5:$G$1004,5,FALSE)</f>
        <v>#N/A</v>
      </c>
    </row>
    <row r="43" spans="1:12" x14ac:dyDescent="0.2">
      <c r="A43">
        <f>'Shipment Data for Provisioning'!B48</f>
        <v>0</v>
      </c>
      <c r="B43">
        <f>'Shipment Data for Provisioning'!C48</f>
        <v>0</v>
      </c>
      <c r="C43">
        <f>'Shipment Data for Provisioning'!D48</f>
        <v>0</v>
      </c>
      <c r="D43">
        <f>'Shipment Data for Provisioning'!E48</f>
        <v>0</v>
      </c>
      <c r="E43">
        <f>'Shipment Data for Provisioning'!F48</f>
        <v>0</v>
      </c>
      <c r="F43">
        <f>'Shipment Data for Provisioning'!G48</f>
        <v>0</v>
      </c>
      <c r="G43">
        <f>'Shipment Data for Provisioning'!H48</f>
        <v>0</v>
      </c>
      <c r="H43">
        <f>'Shipment Data for Provisioning'!I48</f>
        <v>0</v>
      </c>
      <c r="I43" t="e">
        <f>VLOOKUP(B43,'Location Data'!$C$5:$G$1004,4,FALSE)</f>
        <v>#N/A</v>
      </c>
      <c r="J43" t="e">
        <f>VLOOKUP(B43,'Location Data'!$C$5:$G$1004,5,FALSE)</f>
        <v>#N/A</v>
      </c>
      <c r="K43" t="e">
        <f>VLOOKUP(C43,'Location Data'!$C$5:$G$1004,4,FALSE)</f>
        <v>#N/A</v>
      </c>
      <c r="L43" t="e">
        <f>VLOOKUP(C43,'Location Data'!$C$5:$G$1004,5,FALSE)</f>
        <v>#N/A</v>
      </c>
    </row>
    <row r="44" spans="1:12" x14ac:dyDescent="0.2">
      <c r="A44">
        <f>'Shipment Data for Provisioning'!B49</f>
        <v>0</v>
      </c>
      <c r="B44">
        <f>'Shipment Data for Provisioning'!C49</f>
        <v>0</v>
      </c>
      <c r="C44">
        <f>'Shipment Data for Provisioning'!D49</f>
        <v>0</v>
      </c>
      <c r="D44">
        <f>'Shipment Data for Provisioning'!E49</f>
        <v>0</v>
      </c>
      <c r="E44">
        <f>'Shipment Data for Provisioning'!F49</f>
        <v>0</v>
      </c>
      <c r="F44">
        <f>'Shipment Data for Provisioning'!G49</f>
        <v>0</v>
      </c>
      <c r="G44">
        <f>'Shipment Data for Provisioning'!H49</f>
        <v>0</v>
      </c>
      <c r="H44">
        <f>'Shipment Data for Provisioning'!I49</f>
        <v>0</v>
      </c>
      <c r="I44" t="e">
        <f>VLOOKUP(B44,'Location Data'!$C$5:$G$1004,4,FALSE)</f>
        <v>#N/A</v>
      </c>
      <c r="J44" t="e">
        <f>VLOOKUP(B44,'Location Data'!$C$5:$G$1004,5,FALSE)</f>
        <v>#N/A</v>
      </c>
      <c r="K44" t="e">
        <f>VLOOKUP(C44,'Location Data'!$C$5:$G$1004,4,FALSE)</f>
        <v>#N/A</v>
      </c>
      <c r="L44" t="e">
        <f>VLOOKUP(C44,'Location Data'!$C$5:$G$1004,5,FALSE)</f>
        <v>#N/A</v>
      </c>
    </row>
    <row r="45" spans="1:12" x14ac:dyDescent="0.2">
      <c r="A45">
        <f>'Shipment Data for Provisioning'!B50</f>
        <v>0</v>
      </c>
      <c r="B45">
        <f>'Shipment Data for Provisioning'!C50</f>
        <v>0</v>
      </c>
      <c r="C45">
        <f>'Shipment Data for Provisioning'!D50</f>
        <v>0</v>
      </c>
      <c r="D45">
        <f>'Shipment Data for Provisioning'!E50</f>
        <v>0</v>
      </c>
      <c r="E45">
        <f>'Shipment Data for Provisioning'!F50</f>
        <v>0</v>
      </c>
      <c r="F45">
        <f>'Shipment Data for Provisioning'!G50</f>
        <v>0</v>
      </c>
      <c r="G45">
        <f>'Shipment Data for Provisioning'!H50</f>
        <v>0</v>
      </c>
      <c r="H45">
        <f>'Shipment Data for Provisioning'!I50</f>
        <v>0</v>
      </c>
      <c r="I45" t="e">
        <f>VLOOKUP(B45,'Location Data'!$C$5:$G$1004,4,FALSE)</f>
        <v>#N/A</v>
      </c>
      <c r="J45" t="e">
        <f>VLOOKUP(B45,'Location Data'!$C$5:$G$1004,5,FALSE)</f>
        <v>#N/A</v>
      </c>
      <c r="K45" t="e">
        <f>VLOOKUP(C45,'Location Data'!$C$5:$G$1004,4,FALSE)</f>
        <v>#N/A</v>
      </c>
      <c r="L45" t="e">
        <f>VLOOKUP(C45,'Location Data'!$C$5:$G$1004,5,FALSE)</f>
        <v>#N/A</v>
      </c>
    </row>
    <row r="46" spans="1:12" x14ac:dyDescent="0.2">
      <c r="A46">
        <f>'Shipment Data for Provisioning'!B51</f>
        <v>0</v>
      </c>
      <c r="B46">
        <f>'Shipment Data for Provisioning'!C51</f>
        <v>0</v>
      </c>
      <c r="C46">
        <f>'Shipment Data for Provisioning'!D51</f>
        <v>0</v>
      </c>
      <c r="D46">
        <f>'Shipment Data for Provisioning'!E51</f>
        <v>0</v>
      </c>
      <c r="E46">
        <f>'Shipment Data for Provisioning'!F51</f>
        <v>0</v>
      </c>
      <c r="F46">
        <f>'Shipment Data for Provisioning'!G51</f>
        <v>0</v>
      </c>
      <c r="G46">
        <f>'Shipment Data for Provisioning'!H51</f>
        <v>0</v>
      </c>
      <c r="H46">
        <f>'Shipment Data for Provisioning'!I51</f>
        <v>0</v>
      </c>
      <c r="I46" t="e">
        <f>VLOOKUP(B46,'Location Data'!$C$5:$G$1004,4,FALSE)</f>
        <v>#N/A</v>
      </c>
      <c r="J46" t="e">
        <f>VLOOKUP(B46,'Location Data'!$C$5:$G$1004,5,FALSE)</f>
        <v>#N/A</v>
      </c>
      <c r="K46" t="e">
        <f>VLOOKUP(C46,'Location Data'!$C$5:$G$1004,4,FALSE)</f>
        <v>#N/A</v>
      </c>
      <c r="L46" t="e">
        <f>VLOOKUP(C46,'Location Data'!$C$5:$G$1004,5,FALSE)</f>
        <v>#N/A</v>
      </c>
    </row>
    <row r="47" spans="1:12" x14ac:dyDescent="0.2">
      <c r="A47">
        <f>'Shipment Data for Provisioning'!B52</f>
        <v>0</v>
      </c>
      <c r="B47">
        <f>'Shipment Data for Provisioning'!C52</f>
        <v>0</v>
      </c>
      <c r="C47">
        <f>'Shipment Data for Provisioning'!D52</f>
        <v>0</v>
      </c>
      <c r="D47">
        <f>'Shipment Data for Provisioning'!E52</f>
        <v>0</v>
      </c>
      <c r="E47">
        <f>'Shipment Data for Provisioning'!F52</f>
        <v>0</v>
      </c>
      <c r="F47">
        <f>'Shipment Data for Provisioning'!G52</f>
        <v>0</v>
      </c>
      <c r="G47">
        <f>'Shipment Data for Provisioning'!H52</f>
        <v>0</v>
      </c>
      <c r="H47">
        <f>'Shipment Data for Provisioning'!I52</f>
        <v>0</v>
      </c>
      <c r="I47" t="e">
        <f>VLOOKUP(B47,'Location Data'!$C$5:$G$1004,4,FALSE)</f>
        <v>#N/A</v>
      </c>
      <c r="J47" t="e">
        <f>VLOOKUP(B47,'Location Data'!$C$5:$G$1004,5,FALSE)</f>
        <v>#N/A</v>
      </c>
      <c r="K47" t="e">
        <f>VLOOKUP(C47,'Location Data'!$C$5:$G$1004,4,FALSE)</f>
        <v>#N/A</v>
      </c>
      <c r="L47" t="e">
        <f>VLOOKUP(C47,'Location Data'!$C$5:$G$1004,5,FALSE)</f>
        <v>#N/A</v>
      </c>
    </row>
    <row r="48" spans="1:12" x14ac:dyDescent="0.2">
      <c r="A48">
        <f>'Shipment Data for Provisioning'!B53</f>
        <v>0</v>
      </c>
      <c r="B48">
        <f>'Shipment Data for Provisioning'!C53</f>
        <v>0</v>
      </c>
      <c r="C48">
        <f>'Shipment Data for Provisioning'!D53</f>
        <v>0</v>
      </c>
      <c r="D48">
        <f>'Shipment Data for Provisioning'!E53</f>
        <v>0</v>
      </c>
      <c r="E48">
        <f>'Shipment Data for Provisioning'!F53</f>
        <v>0</v>
      </c>
      <c r="F48">
        <f>'Shipment Data for Provisioning'!G53</f>
        <v>0</v>
      </c>
      <c r="G48">
        <f>'Shipment Data for Provisioning'!H53</f>
        <v>0</v>
      </c>
      <c r="H48">
        <f>'Shipment Data for Provisioning'!I53</f>
        <v>0</v>
      </c>
      <c r="I48" t="e">
        <f>VLOOKUP(B48,'Location Data'!$C$5:$G$1004,4,FALSE)</f>
        <v>#N/A</v>
      </c>
      <c r="J48" t="e">
        <f>VLOOKUP(B48,'Location Data'!$C$5:$G$1004,5,FALSE)</f>
        <v>#N/A</v>
      </c>
      <c r="K48" t="e">
        <f>VLOOKUP(C48,'Location Data'!$C$5:$G$1004,4,FALSE)</f>
        <v>#N/A</v>
      </c>
      <c r="L48" t="e">
        <f>VLOOKUP(C48,'Location Data'!$C$5:$G$1004,5,FALSE)</f>
        <v>#N/A</v>
      </c>
    </row>
    <row r="49" spans="1:12" x14ac:dyDescent="0.2">
      <c r="A49">
        <f>'Shipment Data for Provisioning'!B54</f>
        <v>0</v>
      </c>
      <c r="B49">
        <f>'Shipment Data for Provisioning'!C54</f>
        <v>0</v>
      </c>
      <c r="C49">
        <f>'Shipment Data for Provisioning'!D54</f>
        <v>0</v>
      </c>
      <c r="D49">
        <f>'Shipment Data for Provisioning'!E54</f>
        <v>0</v>
      </c>
      <c r="E49">
        <f>'Shipment Data for Provisioning'!F54</f>
        <v>0</v>
      </c>
      <c r="F49">
        <f>'Shipment Data for Provisioning'!G54</f>
        <v>0</v>
      </c>
      <c r="G49">
        <f>'Shipment Data for Provisioning'!H54</f>
        <v>0</v>
      </c>
      <c r="H49">
        <f>'Shipment Data for Provisioning'!I54</f>
        <v>0</v>
      </c>
      <c r="I49" t="e">
        <f>VLOOKUP(B49,'Location Data'!$C$5:$G$1004,4,FALSE)</f>
        <v>#N/A</v>
      </c>
      <c r="J49" t="e">
        <f>VLOOKUP(B49,'Location Data'!$C$5:$G$1004,5,FALSE)</f>
        <v>#N/A</v>
      </c>
      <c r="K49" t="e">
        <f>VLOOKUP(C49,'Location Data'!$C$5:$G$1004,4,FALSE)</f>
        <v>#N/A</v>
      </c>
      <c r="L49" t="e">
        <f>VLOOKUP(C49,'Location Data'!$C$5:$G$1004,5,FALSE)</f>
        <v>#N/A</v>
      </c>
    </row>
    <row r="50" spans="1:12" x14ac:dyDescent="0.2">
      <c r="A50">
        <f>'Shipment Data for Provisioning'!B55</f>
        <v>0</v>
      </c>
      <c r="B50">
        <f>'Shipment Data for Provisioning'!C55</f>
        <v>0</v>
      </c>
      <c r="C50">
        <f>'Shipment Data for Provisioning'!D55</f>
        <v>0</v>
      </c>
      <c r="D50">
        <f>'Shipment Data for Provisioning'!E55</f>
        <v>0</v>
      </c>
      <c r="E50">
        <f>'Shipment Data for Provisioning'!F55</f>
        <v>0</v>
      </c>
      <c r="F50">
        <f>'Shipment Data for Provisioning'!G55</f>
        <v>0</v>
      </c>
      <c r="G50">
        <f>'Shipment Data for Provisioning'!H55</f>
        <v>0</v>
      </c>
      <c r="H50">
        <f>'Shipment Data for Provisioning'!I55</f>
        <v>0</v>
      </c>
      <c r="I50" t="e">
        <f>VLOOKUP(B50,'Location Data'!$C$5:$G$1004,4,FALSE)</f>
        <v>#N/A</v>
      </c>
      <c r="J50" t="e">
        <f>VLOOKUP(B50,'Location Data'!$C$5:$G$1004,5,FALSE)</f>
        <v>#N/A</v>
      </c>
      <c r="K50" t="e">
        <f>VLOOKUP(C50,'Location Data'!$C$5:$G$1004,4,FALSE)</f>
        <v>#N/A</v>
      </c>
      <c r="L50" t="e">
        <f>VLOOKUP(C50,'Location Data'!$C$5:$G$1004,5,FALSE)</f>
        <v>#N/A</v>
      </c>
    </row>
    <row r="51" spans="1:12" x14ac:dyDescent="0.2">
      <c r="A51">
        <f>'Shipment Data for Provisioning'!B56</f>
        <v>0</v>
      </c>
      <c r="B51">
        <f>'Shipment Data for Provisioning'!C56</f>
        <v>0</v>
      </c>
      <c r="C51">
        <f>'Shipment Data for Provisioning'!D56</f>
        <v>0</v>
      </c>
      <c r="D51">
        <f>'Shipment Data for Provisioning'!E56</f>
        <v>0</v>
      </c>
      <c r="E51">
        <f>'Shipment Data for Provisioning'!F56</f>
        <v>0</v>
      </c>
      <c r="F51">
        <f>'Shipment Data for Provisioning'!G56</f>
        <v>0</v>
      </c>
      <c r="G51">
        <f>'Shipment Data for Provisioning'!H56</f>
        <v>0</v>
      </c>
      <c r="H51">
        <f>'Shipment Data for Provisioning'!I56</f>
        <v>0</v>
      </c>
      <c r="I51" t="e">
        <f>VLOOKUP(B51,'Location Data'!$C$5:$G$1004,4,FALSE)</f>
        <v>#N/A</v>
      </c>
      <c r="J51" t="e">
        <f>VLOOKUP(B51,'Location Data'!$C$5:$G$1004,5,FALSE)</f>
        <v>#N/A</v>
      </c>
      <c r="K51" t="e">
        <f>VLOOKUP(C51,'Location Data'!$C$5:$G$1004,4,FALSE)</f>
        <v>#N/A</v>
      </c>
      <c r="L51" t="e">
        <f>VLOOKUP(C51,'Location Data'!$C$5:$G$1004,5,FALSE)</f>
        <v>#N/A</v>
      </c>
    </row>
    <row r="52" spans="1:12" x14ac:dyDescent="0.2">
      <c r="A52">
        <f>'Shipment Data for Provisioning'!B57</f>
        <v>0</v>
      </c>
      <c r="B52">
        <f>'Shipment Data for Provisioning'!C57</f>
        <v>0</v>
      </c>
      <c r="C52">
        <f>'Shipment Data for Provisioning'!D57</f>
        <v>0</v>
      </c>
      <c r="D52">
        <f>'Shipment Data for Provisioning'!E57</f>
        <v>0</v>
      </c>
      <c r="E52">
        <f>'Shipment Data for Provisioning'!F57</f>
        <v>0</v>
      </c>
      <c r="F52">
        <f>'Shipment Data for Provisioning'!G57</f>
        <v>0</v>
      </c>
      <c r="G52">
        <f>'Shipment Data for Provisioning'!H57</f>
        <v>0</v>
      </c>
      <c r="H52">
        <f>'Shipment Data for Provisioning'!I57</f>
        <v>0</v>
      </c>
      <c r="I52" t="e">
        <f>VLOOKUP(B52,'Location Data'!$C$5:$G$1004,4,FALSE)</f>
        <v>#N/A</v>
      </c>
      <c r="J52" t="e">
        <f>VLOOKUP(B52,'Location Data'!$C$5:$G$1004,5,FALSE)</f>
        <v>#N/A</v>
      </c>
      <c r="K52" t="e">
        <f>VLOOKUP(C52,'Location Data'!$C$5:$G$1004,4,FALSE)</f>
        <v>#N/A</v>
      </c>
      <c r="L52" t="e">
        <f>VLOOKUP(C52,'Location Data'!$C$5:$G$1004,5,FALSE)</f>
        <v>#N/A</v>
      </c>
    </row>
    <row r="53" spans="1:12" x14ac:dyDescent="0.2">
      <c r="A53">
        <f>'Shipment Data for Provisioning'!B58</f>
        <v>0</v>
      </c>
      <c r="B53">
        <f>'Shipment Data for Provisioning'!C58</f>
        <v>0</v>
      </c>
      <c r="C53">
        <f>'Shipment Data for Provisioning'!D58</f>
        <v>0</v>
      </c>
      <c r="D53">
        <f>'Shipment Data for Provisioning'!E58</f>
        <v>0</v>
      </c>
      <c r="E53">
        <f>'Shipment Data for Provisioning'!F58</f>
        <v>0</v>
      </c>
      <c r="F53">
        <f>'Shipment Data for Provisioning'!G58</f>
        <v>0</v>
      </c>
      <c r="G53">
        <f>'Shipment Data for Provisioning'!H58</f>
        <v>0</v>
      </c>
      <c r="H53">
        <f>'Shipment Data for Provisioning'!I58</f>
        <v>0</v>
      </c>
      <c r="I53" t="e">
        <f>VLOOKUP(B53,'Location Data'!$C$5:$G$1004,4,FALSE)</f>
        <v>#N/A</v>
      </c>
      <c r="J53" t="e">
        <f>VLOOKUP(B53,'Location Data'!$C$5:$G$1004,5,FALSE)</f>
        <v>#N/A</v>
      </c>
      <c r="K53" t="e">
        <f>VLOOKUP(C53,'Location Data'!$C$5:$G$1004,4,FALSE)</f>
        <v>#N/A</v>
      </c>
      <c r="L53" t="e">
        <f>VLOOKUP(C53,'Location Data'!$C$5:$G$1004,5,FALSE)</f>
        <v>#N/A</v>
      </c>
    </row>
    <row r="54" spans="1:12" x14ac:dyDescent="0.2">
      <c r="A54">
        <f>'Shipment Data for Provisioning'!B59</f>
        <v>0</v>
      </c>
      <c r="B54">
        <f>'Shipment Data for Provisioning'!C59</f>
        <v>0</v>
      </c>
      <c r="C54">
        <f>'Shipment Data for Provisioning'!D59</f>
        <v>0</v>
      </c>
      <c r="D54">
        <f>'Shipment Data for Provisioning'!E59</f>
        <v>0</v>
      </c>
      <c r="E54">
        <f>'Shipment Data for Provisioning'!F59</f>
        <v>0</v>
      </c>
      <c r="F54">
        <f>'Shipment Data for Provisioning'!G59</f>
        <v>0</v>
      </c>
      <c r="G54">
        <f>'Shipment Data for Provisioning'!H59</f>
        <v>0</v>
      </c>
      <c r="H54">
        <f>'Shipment Data for Provisioning'!I59</f>
        <v>0</v>
      </c>
      <c r="I54" t="e">
        <f>VLOOKUP(B54,'Location Data'!$C$5:$G$1004,4,FALSE)</f>
        <v>#N/A</v>
      </c>
      <c r="J54" t="e">
        <f>VLOOKUP(B54,'Location Data'!$C$5:$G$1004,5,FALSE)</f>
        <v>#N/A</v>
      </c>
      <c r="K54" t="e">
        <f>VLOOKUP(C54,'Location Data'!$C$5:$G$1004,4,FALSE)</f>
        <v>#N/A</v>
      </c>
      <c r="L54" t="e">
        <f>VLOOKUP(C54,'Location Data'!$C$5:$G$1004,5,FALSE)</f>
        <v>#N/A</v>
      </c>
    </row>
    <row r="55" spans="1:12" x14ac:dyDescent="0.2">
      <c r="A55">
        <f>'Shipment Data for Provisioning'!B60</f>
        <v>0</v>
      </c>
      <c r="B55">
        <f>'Shipment Data for Provisioning'!C60</f>
        <v>0</v>
      </c>
      <c r="C55">
        <f>'Shipment Data for Provisioning'!D60</f>
        <v>0</v>
      </c>
      <c r="D55">
        <f>'Shipment Data for Provisioning'!E60</f>
        <v>0</v>
      </c>
      <c r="E55">
        <f>'Shipment Data for Provisioning'!F60</f>
        <v>0</v>
      </c>
      <c r="F55">
        <f>'Shipment Data for Provisioning'!G60</f>
        <v>0</v>
      </c>
      <c r="G55">
        <f>'Shipment Data for Provisioning'!H60</f>
        <v>0</v>
      </c>
      <c r="H55">
        <f>'Shipment Data for Provisioning'!I60</f>
        <v>0</v>
      </c>
      <c r="I55" t="e">
        <f>VLOOKUP(B55,'Location Data'!$C$5:$G$1004,4,FALSE)</f>
        <v>#N/A</v>
      </c>
      <c r="J55" t="e">
        <f>VLOOKUP(B55,'Location Data'!$C$5:$G$1004,5,FALSE)</f>
        <v>#N/A</v>
      </c>
      <c r="K55" t="e">
        <f>VLOOKUP(C55,'Location Data'!$C$5:$G$1004,4,FALSE)</f>
        <v>#N/A</v>
      </c>
      <c r="L55" t="e">
        <f>VLOOKUP(C55,'Location Data'!$C$5:$G$1004,5,FALSE)</f>
        <v>#N/A</v>
      </c>
    </row>
    <row r="56" spans="1:12" x14ac:dyDescent="0.2">
      <c r="A56">
        <f>'Shipment Data for Provisioning'!B61</f>
        <v>0</v>
      </c>
      <c r="B56">
        <f>'Shipment Data for Provisioning'!C61</f>
        <v>0</v>
      </c>
      <c r="C56">
        <f>'Shipment Data for Provisioning'!D61</f>
        <v>0</v>
      </c>
      <c r="D56">
        <f>'Shipment Data for Provisioning'!E61</f>
        <v>0</v>
      </c>
      <c r="E56">
        <f>'Shipment Data for Provisioning'!F61</f>
        <v>0</v>
      </c>
      <c r="F56">
        <f>'Shipment Data for Provisioning'!G61</f>
        <v>0</v>
      </c>
      <c r="G56">
        <f>'Shipment Data for Provisioning'!H61</f>
        <v>0</v>
      </c>
      <c r="H56">
        <f>'Shipment Data for Provisioning'!I61</f>
        <v>0</v>
      </c>
      <c r="I56" t="e">
        <f>VLOOKUP(B56,'Location Data'!$C$5:$G$1004,4,FALSE)</f>
        <v>#N/A</v>
      </c>
      <c r="J56" t="e">
        <f>VLOOKUP(B56,'Location Data'!$C$5:$G$1004,5,FALSE)</f>
        <v>#N/A</v>
      </c>
      <c r="K56" t="e">
        <f>VLOOKUP(C56,'Location Data'!$C$5:$G$1004,4,FALSE)</f>
        <v>#N/A</v>
      </c>
      <c r="L56" t="e">
        <f>VLOOKUP(C56,'Location Data'!$C$5:$G$1004,5,FALSE)</f>
        <v>#N/A</v>
      </c>
    </row>
    <row r="57" spans="1:12" x14ac:dyDescent="0.2">
      <c r="A57">
        <f>'Shipment Data for Provisioning'!B62</f>
        <v>0</v>
      </c>
      <c r="B57">
        <f>'Shipment Data for Provisioning'!C62</f>
        <v>0</v>
      </c>
      <c r="C57">
        <f>'Shipment Data for Provisioning'!D62</f>
        <v>0</v>
      </c>
      <c r="D57">
        <f>'Shipment Data for Provisioning'!E62</f>
        <v>0</v>
      </c>
      <c r="E57">
        <f>'Shipment Data for Provisioning'!F62</f>
        <v>0</v>
      </c>
      <c r="F57">
        <f>'Shipment Data for Provisioning'!G62</f>
        <v>0</v>
      </c>
      <c r="G57">
        <f>'Shipment Data for Provisioning'!H62</f>
        <v>0</v>
      </c>
      <c r="H57">
        <f>'Shipment Data for Provisioning'!I62</f>
        <v>0</v>
      </c>
      <c r="I57" t="e">
        <f>VLOOKUP(B57,'Location Data'!$C$5:$G$1004,4,FALSE)</f>
        <v>#N/A</v>
      </c>
      <c r="J57" t="e">
        <f>VLOOKUP(B57,'Location Data'!$C$5:$G$1004,5,FALSE)</f>
        <v>#N/A</v>
      </c>
      <c r="K57" t="e">
        <f>VLOOKUP(C57,'Location Data'!$C$5:$G$1004,4,FALSE)</f>
        <v>#N/A</v>
      </c>
      <c r="L57" t="e">
        <f>VLOOKUP(C57,'Location Data'!$C$5:$G$1004,5,FALSE)</f>
        <v>#N/A</v>
      </c>
    </row>
    <row r="58" spans="1:12" x14ac:dyDescent="0.2">
      <c r="A58">
        <f>'Shipment Data for Provisioning'!B63</f>
        <v>0</v>
      </c>
      <c r="B58">
        <f>'Shipment Data for Provisioning'!C63</f>
        <v>0</v>
      </c>
      <c r="C58">
        <f>'Shipment Data for Provisioning'!D63</f>
        <v>0</v>
      </c>
      <c r="D58">
        <f>'Shipment Data for Provisioning'!E63</f>
        <v>0</v>
      </c>
      <c r="E58">
        <f>'Shipment Data for Provisioning'!F63</f>
        <v>0</v>
      </c>
      <c r="F58">
        <f>'Shipment Data for Provisioning'!G63</f>
        <v>0</v>
      </c>
      <c r="G58">
        <f>'Shipment Data for Provisioning'!H63</f>
        <v>0</v>
      </c>
      <c r="H58">
        <f>'Shipment Data for Provisioning'!I63</f>
        <v>0</v>
      </c>
      <c r="I58" t="e">
        <f>VLOOKUP(B58,'Location Data'!$C$5:$G$1004,4,FALSE)</f>
        <v>#N/A</v>
      </c>
      <c r="J58" t="e">
        <f>VLOOKUP(B58,'Location Data'!$C$5:$G$1004,5,FALSE)</f>
        <v>#N/A</v>
      </c>
      <c r="K58" t="e">
        <f>VLOOKUP(C58,'Location Data'!$C$5:$G$1004,4,FALSE)</f>
        <v>#N/A</v>
      </c>
      <c r="L58" t="e">
        <f>VLOOKUP(C58,'Location Data'!$C$5:$G$1004,5,FALSE)</f>
        <v>#N/A</v>
      </c>
    </row>
    <row r="59" spans="1:12" x14ac:dyDescent="0.2">
      <c r="A59">
        <f>'Shipment Data for Provisioning'!B64</f>
        <v>0</v>
      </c>
      <c r="B59">
        <f>'Shipment Data for Provisioning'!C64</f>
        <v>0</v>
      </c>
      <c r="C59">
        <f>'Shipment Data for Provisioning'!D64</f>
        <v>0</v>
      </c>
      <c r="D59">
        <f>'Shipment Data for Provisioning'!E64</f>
        <v>0</v>
      </c>
      <c r="E59">
        <f>'Shipment Data for Provisioning'!F64</f>
        <v>0</v>
      </c>
      <c r="F59">
        <f>'Shipment Data for Provisioning'!G64</f>
        <v>0</v>
      </c>
      <c r="G59">
        <f>'Shipment Data for Provisioning'!H64</f>
        <v>0</v>
      </c>
      <c r="H59">
        <f>'Shipment Data for Provisioning'!I64</f>
        <v>0</v>
      </c>
      <c r="I59" t="e">
        <f>VLOOKUP(B59,'Location Data'!$C$5:$G$1004,4,FALSE)</f>
        <v>#N/A</v>
      </c>
      <c r="J59" t="e">
        <f>VLOOKUP(B59,'Location Data'!$C$5:$G$1004,5,FALSE)</f>
        <v>#N/A</v>
      </c>
      <c r="K59" t="e">
        <f>VLOOKUP(C59,'Location Data'!$C$5:$G$1004,4,FALSE)</f>
        <v>#N/A</v>
      </c>
      <c r="L59" t="e">
        <f>VLOOKUP(C59,'Location Data'!$C$5:$G$1004,5,FALSE)</f>
        <v>#N/A</v>
      </c>
    </row>
    <row r="60" spans="1:12" x14ac:dyDescent="0.2">
      <c r="A60">
        <f>'Shipment Data for Provisioning'!B65</f>
        <v>0</v>
      </c>
      <c r="B60">
        <f>'Shipment Data for Provisioning'!C65</f>
        <v>0</v>
      </c>
      <c r="C60">
        <f>'Shipment Data for Provisioning'!D65</f>
        <v>0</v>
      </c>
      <c r="D60">
        <f>'Shipment Data for Provisioning'!E65</f>
        <v>0</v>
      </c>
      <c r="E60">
        <f>'Shipment Data for Provisioning'!F65</f>
        <v>0</v>
      </c>
      <c r="F60">
        <f>'Shipment Data for Provisioning'!G65</f>
        <v>0</v>
      </c>
      <c r="G60">
        <f>'Shipment Data for Provisioning'!H65</f>
        <v>0</v>
      </c>
      <c r="H60">
        <f>'Shipment Data for Provisioning'!I65</f>
        <v>0</v>
      </c>
      <c r="I60" t="e">
        <f>VLOOKUP(B60,'Location Data'!$C$5:$G$1004,4,FALSE)</f>
        <v>#N/A</v>
      </c>
      <c r="J60" t="e">
        <f>VLOOKUP(B60,'Location Data'!$C$5:$G$1004,5,FALSE)</f>
        <v>#N/A</v>
      </c>
      <c r="K60" t="e">
        <f>VLOOKUP(C60,'Location Data'!$C$5:$G$1004,4,FALSE)</f>
        <v>#N/A</v>
      </c>
      <c r="L60" t="e">
        <f>VLOOKUP(C60,'Location Data'!$C$5:$G$1004,5,FALSE)</f>
        <v>#N/A</v>
      </c>
    </row>
    <row r="61" spans="1:12" x14ac:dyDescent="0.2">
      <c r="A61">
        <f>'Shipment Data for Provisioning'!B66</f>
        <v>0</v>
      </c>
      <c r="B61">
        <f>'Shipment Data for Provisioning'!C66</f>
        <v>0</v>
      </c>
      <c r="C61">
        <f>'Shipment Data for Provisioning'!D66</f>
        <v>0</v>
      </c>
      <c r="D61">
        <f>'Shipment Data for Provisioning'!E66</f>
        <v>0</v>
      </c>
      <c r="E61">
        <f>'Shipment Data for Provisioning'!F66</f>
        <v>0</v>
      </c>
      <c r="F61">
        <f>'Shipment Data for Provisioning'!G66</f>
        <v>0</v>
      </c>
      <c r="G61">
        <f>'Shipment Data for Provisioning'!H66</f>
        <v>0</v>
      </c>
      <c r="H61">
        <f>'Shipment Data for Provisioning'!I66</f>
        <v>0</v>
      </c>
      <c r="I61" t="e">
        <f>VLOOKUP(B61,'Location Data'!$C$5:$G$1004,4,FALSE)</f>
        <v>#N/A</v>
      </c>
      <c r="J61" t="e">
        <f>VLOOKUP(B61,'Location Data'!$C$5:$G$1004,5,FALSE)</f>
        <v>#N/A</v>
      </c>
      <c r="K61" t="e">
        <f>VLOOKUP(C61,'Location Data'!$C$5:$G$1004,4,FALSE)</f>
        <v>#N/A</v>
      </c>
      <c r="L61" t="e">
        <f>VLOOKUP(C61,'Location Data'!$C$5:$G$1004,5,FALSE)</f>
        <v>#N/A</v>
      </c>
    </row>
    <row r="62" spans="1:12" x14ac:dyDescent="0.2">
      <c r="A62">
        <f>'Shipment Data for Provisioning'!B67</f>
        <v>0</v>
      </c>
      <c r="B62">
        <f>'Shipment Data for Provisioning'!C67</f>
        <v>0</v>
      </c>
      <c r="C62">
        <f>'Shipment Data for Provisioning'!D67</f>
        <v>0</v>
      </c>
      <c r="D62">
        <f>'Shipment Data for Provisioning'!E67</f>
        <v>0</v>
      </c>
      <c r="E62">
        <f>'Shipment Data for Provisioning'!F67</f>
        <v>0</v>
      </c>
      <c r="F62">
        <f>'Shipment Data for Provisioning'!G67</f>
        <v>0</v>
      </c>
      <c r="G62">
        <f>'Shipment Data for Provisioning'!H67</f>
        <v>0</v>
      </c>
      <c r="H62">
        <f>'Shipment Data for Provisioning'!I67</f>
        <v>0</v>
      </c>
      <c r="I62" t="e">
        <f>VLOOKUP(B62,'Location Data'!$C$5:$G$1004,4,FALSE)</f>
        <v>#N/A</v>
      </c>
      <c r="J62" t="e">
        <f>VLOOKUP(B62,'Location Data'!$C$5:$G$1004,5,FALSE)</f>
        <v>#N/A</v>
      </c>
      <c r="K62" t="e">
        <f>VLOOKUP(C62,'Location Data'!$C$5:$G$1004,4,FALSE)</f>
        <v>#N/A</v>
      </c>
      <c r="L62" t="e">
        <f>VLOOKUP(C62,'Location Data'!$C$5:$G$1004,5,FALSE)</f>
        <v>#N/A</v>
      </c>
    </row>
    <row r="63" spans="1:12" x14ac:dyDescent="0.2">
      <c r="A63">
        <f>'Shipment Data for Provisioning'!B68</f>
        <v>0</v>
      </c>
      <c r="B63">
        <f>'Shipment Data for Provisioning'!C68</f>
        <v>0</v>
      </c>
      <c r="C63">
        <f>'Shipment Data for Provisioning'!D68</f>
        <v>0</v>
      </c>
      <c r="D63">
        <f>'Shipment Data for Provisioning'!E68</f>
        <v>0</v>
      </c>
      <c r="E63">
        <f>'Shipment Data for Provisioning'!F68</f>
        <v>0</v>
      </c>
      <c r="F63">
        <f>'Shipment Data for Provisioning'!G68</f>
        <v>0</v>
      </c>
      <c r="G63">
        <f>'Shipment Data for Provisioning'!H68</f>
        <v>0</v>
      </c>
      <c r="H63">
        <f>'Shipment Data for Provisioning'!I68</f>
        <v>0</v>
      </c>
      <c r="I63" t="e">
        <f>VLOOKUP(B63,'Location Data'!$C$5:$G$1004,4,FALSE)</f>
        <v>#N/A</v>
      </c>
      <c r="J63" t="e">
        <f>VLOOKUP(B63,'Location Data'!$C$5:$G$1004,5,FALSE)</f>
        <v>#N/A</v>
      </c>
      <c r="K63" t="e">
        <f>VLOOKUP(C63,'Location Data'!$C$5:$G$1004,4,FALSE)</f>
        <v>#N/A</v>
      </c>
      <c r="L63" t="e">
        <f>VLOOKUP(C63,'Location Data'!$C$5:$G$1004,5,FALSE)</f>
        <v>#N/A</v>
      </c>
    </row>
    <row r="64" spans="1:12" x14ac:dyDescent="0.2">
      <c r="A64">
        <f>'Shipment Data for Provisioning'!B69</f>
        <v>0</v>
      </c>
      <c r="B64">
        <f>'Shipment Data for Provisioning'!C69</f>
        <v>0</v>
      </c>
      <c r="C64">
        <f>'Shipment Data for Provisioning'!D69</f>
        <v>0</v>
      </c>
      <c r="D64">
        <f>'Shipment Data for Provisioning'!E69</f>
        <v>0</v>
      </c>
      <c r="E64">
        <f>'Shipment Data for Provisioning'!F69</f>
        <v>0</v>
      </c>
      <c r="F64">
        <f>'Shipment Data for Provisioning'!G69</f>
        <v>0</v>
      </c>
      <c r="G64">
        <f>'Shipment Data for Provisioning'!H69</f>
        <v>0</v>
      </c>
      <c r="H64">
        <f>'Shipment Data for Provisioning'!I69</f>
        <v>0</v>
      </c>
      <c r="I64" t="e">
        <f>VLOOKUP(B64,'Location Data'!$C$5:$G$1004,4,FALSE)</f>
        <v>#N/A</v>
      </c>
      <c r="J64" t="e">
        <f>VLOOKUP(B64,'Location Data'!$C$5:$G$1004,5,FALSE)</f>
        <v>#N/A</v>
      </c>
      <c r="K64" t="e">
        <f>VLOOKUP(C64,'Location Data'!$C$5:$G$1004,4,FALSE)</f>
        <v>#N/A</v>
      </c>
      <c r="L64" t="e">
        <f>VLOOKUP(C64,'Location Data'!$C$5:$G$1004,5,FALSE)</f>
        <v>#N/A</v>
      </c>
    </row>
    <row r="65" spans="1:12" x14ac:dyDescent="0.2">
      <c r="A65">
        <f>'Shipment Data for Provisioning'!B70</f>
        <v>0</v>
      </c>
      <c r="B65">
        <f>'Shipment Data for Provisioning'!C70</f>
        <v>0</v>
      </c>
      <c r="C65">
        <f>'Shipment Data for Provisioning'!D70</f>
        <v>0</v>
      </c>
      <c r="D65">
        <f>'Shipment Data for Provisioning'!E70</f>
        <v>0</v>
      </c>
      <c r="E65">
        <f>'Shipment Data for Provisioning'!F70</f>
        <v>0</v>
      </c>
      <c r="F65">
        <f>'Shipment Data for Provisioning'!G70</f>
        <v>0</v>
      </c>
      <c r="G65">
        <f>'Shipment Data for Provisioning'!H70</f>
        <v>0</v>
      </c>
      <c r="H65">
        <f>'Shipment Data for Provisioning'!I70</f>
        <v>0</v>
      </c>
      <c r="I65" t="e">
        <f>VLOOKUP(B65,'Location Data'!$C$5:$G$1004,4,FALSE)</f>
        <v>#N/A</v>
      </c>
      <c r="J65" t="e">
        <f>VLOOKUP(B65,'Location Data'!$C$5:$G$1004,5,FALSE)</f>
        <v>#N/A</v>
      </c>
      <c r="K65" t="e">
        <f>VLOOKUP(C65,'Location Data'!$C$5:$G$1004,4,FALSE)</f>
        <v>#N/A</v>
      </c>
      <c r="L65" t="e">
        <f>VLOOKUP(C65,'Location Data'!$C$5:$G$1004,5,FALSE)</f>
        <v>#N/A</v>
      </c>
    </row>
    <row r="66" spans="1:12" x14ac:dyDescent="0.2">
      <c r="A66">
        <f>'Shipment Data for Provisioning'!B71</f>
        <v>0</v>
      </c>
      <c r="B66">
        <f>'Shipment Data for Provisioning'!C71</f>
        <v>0</v>
      </c>
      <c r="C66">
        <f>'Shipment Data for Provisioning'!D71</f>
        <v>0</v>
      </c>
      <c r="D66">
        <f>'Shipment Data for Provisioning'!E71</f>
        <v>0</v>
      </c>
      <c r="E66">
        <f>'Shipment Data for Provisioning'!F71</f>
        <v>0</v>
      </c>
      <c r="F66">
        <f>'Shipment Data for Provisioning'!G71</f>
        <v>0</v>
      </c>
      <c r="G66">
        <f>'Shipment Data for Provisioning'!H71</f>
        <v>0</v>
      </c>
      <c r="H66">
        <f>'Shipment Data for Provisioning'!I71</f>
        <v>0</v>
      </c>
      <c r="I66" t="e">
        <f>VLOOKUP(B66,'Location Data'!$C$5:$G$1004,4,FALSE)</f>
        <v>#N/A</v>
      </c>
      <c r="J66" t="e">
        <f>VLOOKUP(B66,'Location Data'!$C$5:$G$1004,5,FALSE)</f>
        <v>#N/A</v>
      </c>
      <c r="K66" t="e">
        <f>VLOOKUP(C66,'Location Data'!$C$5:$G$1004,4,FALSE)</f>
        <v>#N/A</v>
      </c>
      <c r="L66" t="e">
        <f>VLOOKUP(C66,'Location Data'!$C$5:$G$1004,5,FALSE)</f>
        <v>#N/A</v>
      </c>
    </row>
    <row r="67" spans="1:12" x14ac:dyDescent="0.2">
      <c r="A67">
        <f>'Shipment Data for Provisioning'!B72</f>
        <v>0</v>
      </c>
      <c r="B67">
        <f>'Shipment Data for Provisioning'!C72</f>
        <v>0</v>
      </c>
      <c r="C67">
        <f>'Shipment Data for Provisioning'!D72</f>
        <v>0</v>
      </c>
      <c r="D67">
        <f>'Shipment Data for Provisioning'!E72</f>
        <v>0</v>
      </c>
      <c r="E67">
        <f>'Shipment Data for Provisioning'!F72</f>
        <v>0</v>
      </c>
      <c r="F67">
        <f>'Shipment Data for Provisioning'!G72</f>
        <v>0</v>
      </c>
      <c r="G67">
        <f>'Shipment Data for Provisioning'!H72</f>
        <v>0</v>
      </c>
      <c r="H67">
        <f>'Shipment Data for Provisioning'!I72</f>
        <v>0</v>
      </c>
      <c r="I67" t="e">
        <f>VLOOKUP(B67,'Location Data'!$C$5:$G$1004,4,FALSE)</f>
        <v>#N/A</v>
      </c>
      <c r="J67" t="e">
        <f>VLOOKUP(B67,'Location Data'!$C$5:$G$1004,5,FALSE)</f>
        <v>#N/A</v>
      </c>
      <c r="K67" t="e">
        <f>VLOOKUP(C67,'Location Data'!$C$5:$G$1004,4,FALSE)</f>
        <v>#N/A</v>
      </c>
      <c r="L67" t="e">
        <f>VLOOKUP(C67,'Location Data'!$C$5:$G$1004,5,FALSE)</f>
        <v>#N/A</v>
      </c>
    </row>
    <row r="68" spans="1:12" x14ac:dyDescent="0.2">
      <c r="A68">
        <f>'Shipment Data for Provisioning'!B73</f>
        <v>0</v>
      </c>
      <c r="B68">
        <f>'Shipment Data for Provisioning'!C73</f>
        <v>0</v>
      </c>
      <c r="C68">
        <f>'Shipment Data for Provisioning'!D73</f>
        <v>0</v>
      </c>
      <c r="D68">
        <f>'Shipment Data for Provisioning'!E73</f>
        <v>0</v>
      </c>
      <c r="E68">
        <f>'Shipment Data for Provisioning'!F73</f>
        <v>0</v>
      </c>
      <c r="F68">
        <f>'Shipment Data for Provisioning'!G73</f>
        <v>0</v>
      </c>
      <c r="G68">
        <f>'Shipment Data for Provisioning'!H73</f>
        <v>0</v>
      </c>
      <c r="H68">
        <f>'Shipment Data for Provisioning'!I73</f>
        <v>0</v>
      </c>
      <c r="I68" t="e">
        <f>VLOOKUP(B68,'Location Data'!$C$5:$G$1004,4,FALSE)</f>
        <v>#N/A</v>
      </c>
      <c r="J68" t="e">
        <f>VLOOKUP(B68,'Location Data'!$C$5:$G$1004,5,FALSE)</f>
        <v>#N/A</v>
      </c>
      <c r="K68" t="e">
        <f>VLOOKUP(C68,'Location Data'!$C$5:$G$1004,4,FALSE)</f>
        <v>#N/A</v>
      </c>
      <c r="L68" t="e">
        <f>VLOOKUP(C68,'Location Data'!$C$5:$G$1004,5,FALSE)</f>
        <v>#N/A</v>
      </c>
    </row>
    <row r="69" spans="1:12" x14ac:dyDescent="0.2">
      <c r="A69">
        <f>'Shipment Data for Provisioning'!B74</f>
        <v>0</v>
      </c>
      <c r="B69">
        <f>'Shipment Data for Provisioning'!C74</f>
        <v>0</v>
      </c>
      <c r="C69">
        <f>'Shipment Data for Provisioning'!D74</f>
        <v>0</v>
      </c>
      <c r="D69">
        <f>'Shipment Data for Provisioning'!E74</f>
        <v>0</v>
      </c>
      <c r="E69">
        <f>'Shipment Data for Provisioning'!F74</f>
        <v>0</v>
      </c>
      <c r="F69">
        <f>'Shipment Data for Provisioning'!G74</f>
        <v>0</v>
      </c>
      <c r="G69">
        <f>'Shipment Data for Provisioning'!H74</f>
        <v>0</v>
      </c>
      <c r="H69">
        <f>'Shipment Data for Provisioning'!I74</f>
        <v>0</v>
      </c>
      <c r="I69" t="e">
        <f>VLOOKUP(B69,'Location Data'!$C$5:$G$1004,4,FALSE)</f>
        <v>#N/A</v>
      </c>
      <c r="J69" t="e">
        <f>VLOOKUP(B69,'Location Data'!$C$5:$G$1004,5,FALSE)</f>
        <v>#N/A</v>
      </c>
      <c r="K69" t="e">
        <f>VLOOKUP(C69,'Location Data'!$C$5:$G$1004,4,FALSE)</f>
        <v>#N/A</v>
      </c>
      <c r="L69" t="e">
        <f>VLOOKUP(C69,'Location Data'!$C$5:$G$1004,5,FALSE)</f>
        <v>#N/A</v>
      </c>
    </row>
    <row r="70" spans="1:12" x14ac:dyDescent="0.2">
      <c r="A70">
        <f>'Shipment Data for Provisioning'!B75</f>
        <v>0</v>
      </c>
      <c r="B70">
        <f>'Shipment Data for Provisioning'!C75</f>
        <v>0</v>
      </c>
      <c r="C70">
        <f>'Shipment Data for Provisioning'!D75</f>
        <v>0</v>
      </c>
      <c r="D70">
        <f>'Shipment Data for Provisioning'!E75</f>
        <v>0</v>
      </c>
      <c r="E70">
        <f>'Shipment Data for Provisioning'!F75</f>
        <v>0</v>
      </c>
      <c r="F70">
        <f>'Shipment Data for Provisioning'!G75</f>
        <v>0</v>
      </c>
      <c r="G70">
        <f>'Shipment Data for Provisioning'!H75</f>
        <v>0</v>
      </c>
      <c r="H70">
        <f>'Shipment Data for Provisioning'!I75</f>
        <v>0</v>
      </c>
      <c r="I70" t="e">
        <f>VLOOKUP(B70,'Location Data'!$C$5:$G$1004,4,FALSE)</f>
        <v>#N/A</v>
      </c>
      <c r="J70" t="e">
        <f>VLOOKUP(B70,'Location Data'!$C$5:$G$1004,5,FALSE)</f>
        <v>#N/A</v>
      </c>
      <c r="K70" t="e">
        <f>VLOOKUP(C70,'Location Data'!$C$5:$G$1004,4,FALSE)</f>
        <v>#N/A</v>
      </c>
      <c r="L70" t="e">
        <f>VLOOKUP(C70,'Location Data'!$C$5:$G$1004,5,FALSE)</f>
        <v>#N/A</v>
      </c>
    </row>
    <row r="71" spans="1:12" x14ac:dyDescent="0.2">
      <c r="A71">
        <f>'Shipment Data for Provisioning'!B76</f>
        <v>0</v>
      </c>
      <c r="B71">
        <f>'Shipment Data for Provisioning'!C76</f>
        <v>0</v>
      </c>
      <c r="C71">
        <f>'Shipment Data for Provisioning'!D76</f>
        <v>0</v>
      </c>
      <c r="D71">
        <f>'Shipment Data for Provisioning'!E76</f>
        <v>0</v>
      </c>
      <c r="E71">
        <f>'Shipment Data for Provisioning'!F76</f>
        <v>0</v>
      </c>
      <c r="F71">
        <f>'Shipment Data for Provisioning'!G76</f>
        <v>0</v>
      </c>
      <c r="G71">
        <f>'Shipment Data for Provisioning'!H76</f>
        <v>0</v>
      </c>
      <c r="H71">
        <f>'Shipment Data for Provisioning'!I76</f>
        <v>0</v>
      </c>
      <c r="I71" t="e">
        <f>VLOOKUP(B71,'Location Data'!$C$5:$G$1004,4,FALSE)</f>
        <v>#N/A</v>
      </c>
      <c r="J71" t="e">
        <f>VLOOKUP(B71,'Location Data'!$C$5:$G$1004,5,FALSE)</f>
        <v>#N/A</v>
      </c>
      <c r="K71" t="e">
        <f>VLOOKUP(C71,'Location Data'!$C$5:$G$1004,4,FALSE)</f>
        <v>#N/A</v>
      </c>
      <c r="L71" t="e">
        <f>VLOOKUP(C71,'Location Data'!$C$5:$G$1004,5,FALSE)</f>
        <v>#N/A</v>
      </c>
    </row>
    <row r="72" spans="1:12" x14ac:dyDescent="0.2">
      <c r="A72">
        <f>'Shipment Data for Provisioning'!B77</f>
        <v>0</v>
      </c>
      <c r="B72">
        <f>'Shipment Data for Provisioning'!C77</f>
        <v>0</v>
      </c>
      <c r="C72">
        <f>'Shipment Data for Provisioning'!D77</f>
        <v>0</v>
      </c>
      <c r="D72">
        <f>'Shipment Data for Provisioning'!E77</f>
        <v>0</v>
      </c>
      <c r="E72">
        <f>'Shipment Data for Provisioning'!F77</f>
        <v>0</v>
      </c>
      <c r="F72">
        <f>'Shipment Data for Provisioning'!G77</f>
        <v>0</v>
      </c>
      <c r="G72">
        <f>'Shipment Data for Provisioning'!H77</f>
        <v>0</v>
      </c>
      <c r="H72">
        <f>'Shipment Data for Provisioning'!I77</f>
        <v>0</v>
      </c>
      <c r="I72" t="e">
        <f>VLOOKUP(B72,'Location Data'!$C$5:$G$1004,4,FALSE)</f>
        <v>#N/A</v>
      </c>
      <c r="J72" t="e">
        <f>VLOOKUP(B72,'Location Data'!$C$5:$G$1004,5,FALSE)</f>
        <v>#N/A</v>
      </c>
      <c r="K72" t="e">
        <f>VLOOKUP(C72,'Location Data'!$C$5:$G$1004,4,FALSE)</f>
        <v>#N/A</v>
      </c>
      <c r="L72" t="e">
        <f>VLOOKUP(C72,'Location Data'!$C$5:$G$1004,5,FALSE)</f>
        <v>#N/A</v>
      </c>
    </row>
    <row r="73" spans="1:12" x14ac:dyDescent="0.2">
      <c r="A73">
        <f>'Shipment Data for Provisioning'!B78</f>
        <v>0</v>
      </c>
      <c r="B73">
        <f>'Shipment Data for Provisioning'!C78</f>
        <v>0</v>
      </c>
      <c r="C73">
        <f>'Shipment Data for Provisioning'!D78</f>
        <v>0</v>
      </c>
      <c r="D73">
        <f>'Shipment Data for Provisioning'!E78</f>
        <v>0</v>
      </c>
      <c r="E73">
        <f>'Shipment Data for Provisioning'!F78</f>
        <v>0</v>
      </c>
      <c r="F73">
        <f>'Shipment Data for Provisioning'!G78</f>
        <v>0</v>
      </c>
      <c r="G73">
        <f>'Shipment Data for Provisioning'!H78</f>
        <v>0</v>
      </c>
      <c r="H73">
        <f>'Shipment Data for Provisioning'!I78</f>
        <v>0</v>
      </c>
      <c r="I73" t="e">
        <f>VLOOKUP(B73,'Location Data'!$C$5:$G$1004,4,FALSE)</f>
        <v>#N/A</v>
      </c>
      <c r="J73" t="e">
        <f>VLOOKUP(B73,'Location Data'!$C$5:$G$1004,5,FALSE)</f>
        <v>#N/A</v>
      </c>
      <c r="K73" t="e">
        <f>VLOOKUP(C73,'Location Data'!$C$5:$G$1004,4,FALSE)</f>
        <v>#N/A</v>
      </c>
      <c r="L73" t="e">
        <f>VLOOKUP(C73,'Location Data'!$C$5:$G$1004,5,FALSE)</f>
        <v>#N/A</v>
      </c>
    </row>
    <row r="74" spans="1:12" x14ac:dyDescent="0.2">
      <c r="A74">
        <f>'Shipment Data for Provisioning'!B79</f>
        <v>0</v>
      </c>
      <c r="B74">
        <f>'Shipment Data for Provisioning'!C79</f>
        <v>0</v>
      </c>
      <c r="C74">
        <f>'Shipment Data for Provisioning'!D79</f>
        <v>0</v>
      </c>
      <c r="D74">
        <f>'Shipment Data for Provisioning'!E79</f>
        <v>0</v>
      </c>
      <c r="E74">
        <f>'Shipment Data for Provisioning'!F79</f>
        <v>0</v>
      </c>
      <c r="F74">
        <f>'Shipment Data for Provisioning'!G79</f>
        <v>0</v>
      </c>
      <c r="G74">
        <f>'Shipment Data for Provisioning'!H79</f>
        <v>0</v>
      </c>
      <c r="H74">
        <f>'Shipment Data for Provisioning'!I79</f>
        <v>0</v>
      </c>
      <c r="I74" t="e">
        <f>VLOOKUP(B74,'Location Data'!$C$5:$G$1004,4,FALSE)</f>
        <v>#N/A</v>
      </c>
      <c r="J74" t="e">
        <f>VLOOKUP(B74,'Location Data'!$C$5:$G$1004,5,FALSE)</f>
        <v>#N/A</v>
      </c>
      <c r="K74" t="e">
        <f>VLOOKUP(C74,'Location Data'!$C$5:$G$1004,4,FALSE)</f>
        <v>#N/A</v>
      </c>
      <c r="L74" t="e">
        <f>VLOOKUP(C74,'Location Data'!$C$5:$G$1004,5,FALSE)</f>
        <v>#N/A</v>
      </c>
    </row>
    <row r="75" spans="1:12" x14ac:dyDescent="0.2">
      <c r="A75">
        <f>'Shipment Data for Provisioning'!B80</f>
        <v>0</v>
      </c>
      <c r="B75">
        <f>'Shipment Data for Provisioning'!C80</f>
        <v>0</v>
      </c>
      <c r="C75">
        <f>'Shipment Data for Provisioning'!D80</f>
        <v>0</v>
      </c>
      <c r="D75">
        <f>'Shipment Data for Provisioning'!E80</f>
        <v>0</v>
      </c>
      <c r="E75">
        <f>'Shipment Data for Provisioning'!F80</f>
        <v>0</v>
      </c>
      <c r="F75">
        <f>'Shipment Data for Provisioning'!G80</f>
        <v>0</v>
      </c>
      <c r="G75">
        <f>'Shipment Data for Provisioning'!H80</f>
        <v>0</v>
      </c>
      <c r="H75">
        <f>'Shipment Data for Provisioning'!I80</f>
        <v>0</v>
      </c>
      <c r="I75" t="e">
        <f>VLOOKUP(B75,'Location Data'!$C$5:$G$1004,4,FALSE)</f>
        <v>#N/A</v>
      </c>
      <c r="J75" t="e">
        <f>VLOOKUP(B75,'Location Data'!$C$5:$G$1004,5,FALSE)</f>
        <v>#N/A</v>
      </c>
      <c r="K75" t="e">
        <f>VLOOKUP(C75,'Location Data'!$C$5:$G$1004,4,FALSE)</f>
        <v>#N/A</v>
      </c>
      <c r="L75" t="e">
        <f>VLOOKUP(C75,'Location Data'!$C$5:$G$1004,5,FALSE)</f>
        <v>#N/A</v>
      </c>
    </row>
    <row r="76" spans="1:12" x14ac:dyDescent="0.2">
      <c r="A76">
        <f>'Shipment Data for Provisioning'!B81</f>
        <v>0</v>
      </c>
      <c r="B76">
        <f>'Shipment Data for Provisioning'!C81</f>
        <v>0</v>
      </c>
      <c r="C76">
        <f>'Shipment Data for Provisioning'!D81</f>
        <v>0</v>
      </c>
      <c r="D76">
        <f>'Shipment Data for Provisioning'!E81</f>
        <v>0</v>
      </c>
      <c r="E76">
        <f>'Shipment Data for Provisioning'!F81</f>
        <v>0</v>
      </c>
      <c r="F76">
        <f>'Shipment Data for Provisioning'!G81</f>
        <v>0</v>
      </c>
      <c r="G76">
        <f>'Shipment Data for Provisioning'!H81</f>
        <v>0</v>
      </c>
      <c r="H76">
        <f>'Shipment Data for Provisioning'!I81</f>
        <v>0</v>
      </c>
      <c r="I76" t="e">
        <f>VLOOKUP(B76,'Location Data'!$C$5:$G$1004,4,FALSE)</f>
        <v>#N/A</v>
      </c>
      <c r="J76" t="e">
        <f>VLOOKUP(B76,'Location Data'!$C$5:$G$1004,5,FALSE)</f>
        <v>#N/A</v>
      </c>
      <c r="K76" t="e">
        <f>VLOOKUP(C76,'Location Data'!$C$5:$G$1004,4,FALSE)</f>
        <v>#N/A</v>
      </c>
      <c r="L76" t="e">
        <f>VLOOKUP(C76,'Location Data'!$C$5:$G$1004,5,FALSE)</f>
        <v>#N/A</v>
      </c>
    </row>
    <row r="77" spans="1:12" x14ac:dyDescent="0.2">
      <c r="A77">
        <f>'Shipment Data for Provisioning'!B82</f>
        <v>0</v>
      </c>
      <c r="B77">
        <f>'Shipment Data for Provisioning'!C82</f>
        <v>0</v>
      </c>
      <c r="C77">
        <f>'Shipment Data for Provisioning'!D82</f>
        <v>0</v>
      </c>
      <c r="D77">
        <f>'Shipment Data for Provisioning'!E82</f>
        <v>0</v>
      </c>
      <c r="E77">
        <f>'Shipment Data for Provisioning'!F82</f>
        <v>0</v>
      </c>
      <c r="F77">
        <f>'Shipment Data for Provisioning'!G82</f>
        <v>0</v>
      </c>
      <c r="G77">
        <f>'Shipment Data for Provisioning'!H82</f>
        <v>0</v>
      </c>
      <c r="H77">
        <f>'Shipment Data for Provisioning'!I82</f>
        <v>0</v>
      </c>
      <c r="I77" t="e">
        <f>VLOOKUP(B77,'Location Data'!$C$5:$G$1004,4,FALSE)</f>
        <v>#N/A</v>
      </c>
      <c r="J77" t="e">
        <f>VLOOKUP(B77,'Location Data'!$C$5:$G$1004,5,FALSE)</f>
        <v>#N/A</v>
      </c>
      <c r="K77" t="e">
        <f>VLOOKUP(C77,'Location Data'!$C$5:$G$1004,4,FALSE)</f>
        <v>#N/A</v>
      </c>
      <c r="L77" t="e">
        <f>VLOOKUP(C77,'Location Data'!$C$5:$G$1004,5,FALSE)</f>
        <v>#N/A</v>
      </c>
    </row>
    <row r="78" spans="1:12" x14ac:dyDescent="0.2">
      <c r="A78">
        <f>'Shipment Data for Provisioning'!B83</f>
        <v>0</v>
      </c>
      <c r="B78">
        <f>'Shipment Data for Provisioning'!C83</f>
        <v>0</v>
      </c>
      <c r="C78">
        <f>'Shipment Data for Provisioning'!D83</f>
        <v>0</v>
      </c>
      <c r="D78">
        <f>'Shipment Data for Provisioning'!E83</f>
        <v>0</v>
      </c>
      <c r="E78">
        <f>'Shipment Data for Provisioning'!F83</f>
        <v>0</v>
      </c>
      <c r="F78">
        <f>'Shipment Data for Provisioning'!G83</f>
        <v>0</v>
      </c>
      <c r="G78">
        <f>'Shipment Data for Provisioning'!H83</f>
        <v>0</v>
      </c>
      <c r="H78">
        <f>'Shipment Data for Provisioning'!I83</f>
        <v>0</v>
      </c>
      <c r="I78" t="e">
        <f>VLOOKUP(B78,'Location Data'!$C$5:$G$1004,4,FALSE)</f>
        <v>#N/A</v>
      </c>
      <c r="J78" t="e">
        <f>VLOOKUP(B78,'Location Data'!$C$5:$G$1004,5,FALSE)</f>
        <v>#N/A</v>
      </c>
      <c r="K78" t="e">
        <f>VLOOKUP(C78,'Location Data'!$C$5:$G$1004,4,FALSE)</f>
        <v>#N/A</v>
      </c>
      <c r="L78" t="e">
        <f>VLOOKUP(C78,'Location Data'!$C$5:$G$1004,5,FALSE)</f>
        <v>#N/A</v>
      </c>
    </row>
    <row r="79" spans="1:12" x14ac:dyDescent="0.2">
      <c r="A79">
        <f>'Shipment Data for Provisioning'!B84</f>
        <v>0</v>
      </c>
      <c r="B79">
        <f>'Shipment Data for Provisioning'!C84</f>
        <v>0</v>
      </c>
      <c r="C79">
        <f>'Shipment Data for Provisioning'!D84</f>
        <v>0</v>
      </c>
      <c r="D79">
        <f>'Shipment Data for Provisioning'!E84</f>
        <v>0</v>
      </c>
      <c r="E79">
        <f>'Shipment Data for Provisioning'!F84</f>
        <v>0</v>
      </c>
      <c r="F79">
        <f>'Shipment Data for Provisioning'!G84</f>
        <v>0</v>
      </c>
      <c r="G79">
        <f>'Shipment Data for Provisioning'!H84</f>
        <v>0</v>
      </c>
      <c r="H79">
        <f>'Shipment Data for Provisioning'!I84</f>
        <v>0</v>
      </c>
      <c r="I79" t="e">
        <f>VLOOKUP(B79,'Location Data'!$C$5:$G$1004,4,FALSE)</f>
        <v>#N/A</v>
      </c>
      <c r="J79" t="e">
        <f>VLOOKUP(B79,'Location Data'!$C$5:$G$1004,5,FALSE)</f>
        <v>#N/A</v>
      </c>
      <c r="K79" t="e">
        <f>VLOOKUP(C79,'Location Data'!$C$5:$G$1004,4,FALSE)</f>
        <v>#N/A</v>
      </c>
      <c r="L79" t="e">
        <f>VLOOKUP(C79,'Location Data'!$C$5:$G$1004,5,FALSE)</f>
        <v>#N/A</v>
      </c>
    </row>
    <row r="80" spans="1:12" x14ac:dyDescent="0.2">
      <c r="A80">
        <f>'Shipment Data for Provisioning'!B85</f>
        <v>0</v>
      </c>
      <c r="B80">
        <f>'Shipment Data for Provisioning'!C85</f>
        <v>0</v>
      </c>
      <c r="C80">
        <f>'Shipment Data for Provisioning'!D85</f>
        <v>0</v>
      </c>
      <c r="D80">
        <f>'Shipment Data for Provisioning'!E85</f>
        <v>0</v>
      </c>
      <c r="E80">
        <f>'Shipment Data for Provisioning'!F85</f>
        <v>0</v>
      </c>
      <c r="F80">
        <f>'Shipment Data for Provisioning'!G85</f>
        <v>0</v>
      </c>
      <c r="G80">
        <f>'Shipment Data for Provisioning'!H85</f>
        <v>0</v>
      </c>
      <c r="H80">
        <f>'Shipment Data for Provisioning'!I85</f>
        <v>0</v>
      </c>
      <c r="I80" t="e">
        <f>VLOOKUP(B80,'Location Data'!$C$5:$G$1004,4,FALSE)</f>
        <v>#N/A</v>
      </c>
      <c r="J80" t="e">
        <f>VLOOKUP(B80,'Location Data'!$C$5:$G$1004,5,FALSE)</f>
        <v>#N/A</v>
      </c>
      <c r="K80" t="e">
        <f>VLOOKUP(C80,'Location Data'!$C$5:$G$1004,4,FALSE)</f>
        <v>#N/A</v>
      </c>
      <c r="L80" t="e">
        <f>VLOOKUP(C80,'Location Data'!$C$5:$G$1004,5,FALSE)</f>
        <v>#N/A</v>
      </c>
    </row>
    <row r="81" spans="1:12" x14ac:dyDescent="0.2">
      <c r="A81">
        <f>'Shipment Data for Provisioning'!B86</f>
        <v>0</v>
      </c>
      <c r="B81">
        <f>'Shipment Data for Provisioning'!C86</f>
        <v>0</v>
      </c>
      <c r="C81">
        <f>'Shipment Data for Provisioning'!D86</f>
        <v>0</v>
      </c>
      <c r="D81">
        <f>'Shipment Data for Provisioning'!E86</f>
        <v>0</v>
      </c>
      <c r="E81">
        <f>'Shipment Data for Provisioning'!F86</f>
        <v>0</v>
      </c>
      <c r="F81">
        <f>'Shipment Data for Provisioning'!G86</f>
        <v>0</v>
      </c>
      <c r="G81">
        <f>'Shipment Data for Provisioning'!H86</f>
        <v>0</v>
      </c>
      <c r="H81">
        <f>'Shipment Data for Provisioning'!I86</f>
        <v>0</v>
      </c>
      <c r="I81" t="e">
        <f>VLOOKUP(B81,'Location Data'!$C$5:$G$1004,4,FALSE)</f>
        <v>#N/A</v>
      </c>
      <c r="J81" t="e">
        <f>VLOOKUP(B81,'Location Data'!$C$5:$G$1004,5,FALSE)</f>
        <v>#N/A</v>
      </c>
      <c r="K81" t="e">
        <f>VLOOKUP(C81,'Location Data'!$C$5:$G$1004,4,FALSE)</f>
        <v>#N/A</v>
      </c>
      <c r="L81" t="e">
        <f>VLOOKUP(C81,'Location Data'!$C$5:$G$1004,5,FALSE)</f>
        <v>#N/A</v>
      </c>
    </row>
    <row r="82" spans="1:12" x14ac:dyDescent="0.2">
      <c r="A82">
        <f>'Shipment Data for Provisioning'!B87</f>
        <v>0</v>
      </c>
      <c r="B82">
        <f>'Shipment Data for Provisioning'!C87</f>
        <v>0</v>
      </c>
      <c r="C82">
        <f>'Shipment Data for Provisioning'!D87</f>
        <v>0</v>
      </c>
      <c r="D82">
        <f>'Shipment Data for Provisioning'!E87</f>
        <v>0</v>
      </c>
      <c r="E82">
        <f>'Shipment Data for Provisioning'!F87</f>
        <v>0</v>
      </c>
      <c r="F82">
        <f>'Shipment Data for Provisioning'!G87</f>
        <v>0</v>
      </c>
      <c r="G82">
        <f>'Shipment Data for Provisioning'!H87</f>
        <v>0</v>
      </c>
      <c r="H82">
        <f>'Shipment Data for Provisioning'!I87</f>
        <v>0</v>
      </c>
      <c r="I82" t="e">
        <f>VLOOKUP(B82,'Location Data'!$C$5:$G$1004,4,FALSE)</f>
        <v>#N/A</v>
      </c>
      <c r="J82" t="e">
        <f>VLOOKUP(B82,'Location Data'!$C$5:$G$1004,5,FALSE)</f>
        <v>#N/A</v>
      </c>
      <c r="K82" t="e">
        <f>VLOOKUP(C82,'Location Data'!$C$5:$G$1004,4,FALSE)</f>
        <v>#N/A</v>
      </c>
      <c r="L82" t="e">
        <f>VLOOKUP(C82,'Location Data'!$C$5:$G$1004,5,FALSE)</f>
        <v>#N/A</v>
      </c>
    </row>
    <row r="83" spans="1:12" x14ac:dyDescent="0.2">
      <c r="A83">
        <f>'Shipment Data for Provisioning'!B88</f>
        <v>0</v>
      </c>
      <c r="B83">
        <f>'Shipment Data for Provisioning'!C88</f>
        <v>0</v>
      </c>
      <c r="C83">
        <f>'Shipment Data for Provisioning'!D88</f>
        <v>0</v>
      </c>
      <c r="D83">
        <f>'Shipment Data for Provisioning'!E88</f>
        <v>0</v>
      </c>
      <c r="E83">
        <f>'Shipment Data for Provisioning'!F88</f>
        <v>0</v>
      </c>
      <c r="F83">
        <f>'Shipment Data for Provisioning'!G88</f>
        <v>0</v>
      </c>
      <c r="G83">
        <f>'Shipment Data for Provisioning'!H88</f>
        <v>0</v>
      </c>
      <c r="H83">
        <f>'Shipment Data for Provisioning'!I88</f>
        <v>0</v>
      </c>
      <c r="I83" t="e">
        <f>VLOOKUP(B83,'Location Data'!$C$5:$G$1004,4,FALSE)</f>
        <v>#N/A</v>
      </c>
      <c r="J83" t="e">
        <f>VLOOKUP(B83,'Location Data'!$C$5:$G$1004,5,FALSE)</f>
        <v>#N/A</v>
      </c>
      <c r="K83" t="e">
        <f>VLOOKUP(C83,'Location Data'!$C$5:$G$1004,4,FALSE)</f>
        <v>#N/A</v>
      </c>
      <c r="L83" t="e">
        <f>VLOOKUP(C83,'Location Data'!$C$5:$G$1004,5,FALSE)</f>
        <v>#N/A</v>
      </c>
    </row>
    <row r="84" spans="1:12" x14ac:dyDescent="0.2">
      <c r="A84">
        <f>'Shipment Data for Provisioning'!B89</f>
        <v>0</v>
      </c>
      <c r="B84">
        <f>'Shipment Data for Provisioning'!C89</f>
        <v>0</v>
      </c>
      <c r="C84">
        <f>'Shipment Data for Provisioning'!D89</f>
        <v>0</v>
      </c>
      <c r="D84">
        <f>'Shipment Data for Provisioning'!E89</f>
        <v>0</v>
      </c>
      <c r="E84">
        <f>'Shipment Data for Provisioning'!F89</f>
        <v>0</v>
      </c>
      <c r="F84">
        <f>'Shipment Data for Provisioning'!G89</f>
        <v>0</v>
      </c>
      <c r="G84">
        <f>'Shipment Data for Provisioning'!H89</f>
        <v>0</v>
      </c>
      <c r="H84">
        <f>'Shipment Data for Provisioning'!I89</f>
        <v>0</v>
      </c>
      <c r="I84" t="e">
        <f>VLOOKUP(B84,'Location Data'!$C$5:$G$1004,4,FALSE)</f>
        <v>#N/A</v>
      </c>
      <c r="J84" t="e">
        <f>VLOOKUP(B84,'Location Data'!$C$5:$G$1004,5,FALSE)</f>
        <v>#N/A</v>
      </c>
      <c r="K84" t="e">
        <f>VLOOKUP(C84,'Location Data'!$C$5:$G$1004,4,FALSE)</f>
        <v>#N/A</v>
      </c>
      <c r="L84" t="e">
        <f>VLOOKUP(C84,'Location Data'!$C$5:$G$1004,5,FALSE)</f>
        <v>#N/A</v>
      </c>
    </row>
    <row r="85" spans="1:12" x14ac:dyDescent="0.2">
      <c r="A85">
        <f>'Shipment Data for Provisioning'!B90</f>
        <v>0</v>
      </c>
      <c r="B85">
        <f>'Shipment Data for Provisioning'!C90</f>
        <v>0</v>
      </c>
      <c r="C85">
        <f>'Shipment Data for Provisioning'!D90</f>
        <v>0</v>
      </c>
      <c r="D85">
        <f>'Shipment Data for Provisioning'!E90</f>
        <v>0</v>
      </c>
      <c r="E85">
        <f>'Shipment Data for Provisioning'!F90</f>
        <v>0</v>
      </c>
      <c r="F85">
        <f>'Shipment Data for Provisioning'!G90</f>
        <v>0</v>
      </c>
      <c r="G85">
        <f>'Shipment Data for Provisioning'!H90</f>
        <v>0</v>
      </c>
      <c r="H85">
        <f>'Shipment Data for Provisioning'!I90</f>
        <v>0</v>
      </c>
      <c r="I85" t="e">
        <f>VLOOKUP(B85,'Location Data'!$C$5:$G$1004,4,FALSE)</f>
        <v>#N/A</v>
      </c>
      <c r="J85" t="e">
        <f>VLOOKUP(B85,'Location Data'!$C$5:$G$1004,5,FALSE)</f>
        <v>#N/A</v>
      </c>
      <c r="K85" t="e">
        <f>VLOOKUP(C85,'Location Data'!$C$5:$G$1004,4,FALSE)</f>
        <v>#N/A</v>
      </c>
      <c r="L85" t="e">
        <f>VLOOKUP(C85,'Location Data'!$C$5:$G$1004,5,FALSE)</f>
        <v>#N/A</v>
      </c>
    </row>
    <row r="86" spans="1:12" x14ac:dyDescent="0.2">
      <c r="A86">
        <f>'Shipment Data for Provisioning'!B91</f>
        <v>0</v>
      </c>
      <c r="B86">
        <f>'Shipment Data for Provisioning'!C91</f>
        <v>0</v>
      </c>
      <c r="C86">
        <f>'Shipment Data for Provisioning'!D91</f>
        <v>0</v>
      </c>
      <c r="D86">
        <f>'Shipment Data for Provisioning'!E91</f>
        <v>0</v>
      </c>
      <c r="E86">
        <f>'Shipment Data for Provisioning'!F91</f>
        <v>0</v>
      </c>
      <c r="F86">
        <f>'Shipment Data for Provisioning'!G91</f>
        <v>0</v>
      </c>
      <c r="G86">
        <f>'Shipment Data for Provisioning'!H91</f>
        <v>0</v>
      </c>
      <c r="H86">
        <f>'Shipment Data for Provisioning'!I91</f>
        <v>0</v>
      </c>
      <c r="I86" t="e">
        <f>VLOOKUP(B86,'Location Data'!$C$5:$G$1004,4,FALSE)</f>
        <v>#N/A</v>
      </c>
      <c r="J86" t="e">
        <f>VLOOKUP(B86,'Location Data'!$C$5:$G$1004,5,FALSE)</f>
        <v>#N/A</v>
      </c>
      <c r="K86" t="e">
        <f>VLOOKUP(C86,'Location Data'!$C$5:$G$1004,4,FALSE)</f>
        <v>#N/A</v>
      </c>
      <c r="L86" t="e">
        <f>VLOOKUP(C86,'Location Data'!$C$5:$G$1004,5,FALSE)</f>
        <v>#N/A</v>
      </c>
    </row>
    <row r="87" spans="1:12" x14ac:dyDescent="0.2">
      <c r="A87">
        <f>'Shipment Data for Provisioning'!B92</f>
        <v>0</v>
      </c>
      <c r="B87">
        <f>'Shipment Data for Provisioning'!C92</f>
        <v>0</v>
      </c>
      <c r="C87">
        <f>'Shipment Data for Provisioning'!D92</f>
        <v>0</v>
      </c>
      <c r="D87">
        <f>'Shipment Data for Provisioning'!E92</f>
        <v>0</v>
      </c>
      <c r="E87">
        <f>'Shipment Data for Provisioning'!F92</f>
        <v>0</v>
      </c>
      <c r="F87">
        <f>'Shipment Data for Provisioning'!G92</f>
        <v>0</v>
      </c>
      <c r="G87">
        <f>'Shipment Data for Provisioning'!H92</f>
        <v>0</v>
      </c>
      <c r="H87">
        <f>'Shipment Data for Provisioning'!I92</f>
        <v>0</v>
      </c>
      <c r="I87" t="e">
        <f>VLOOKUP(B87,'Location Data'!$C$5:$G$1004,4,FALSE)</f>
        <v>#N/A</v>
      </c>
      <c r="J87" t="e">
        <f>VLOOKUP(B87,'Location Data'!$C$5:$G$1004,5,FALSE)</f>
        <v>#N/A</v>
      </c>
      <c r="K87" t="e">
        <f>VLOOKUP(C87,'Location Data'!$C$5:$G$1004,4,FALSE)</f>
        <v>#N/A</v>
      </c>
      <c r="L87" t="e">
        <f>VLOOKUP(C87,'Location Data'!$C$5:$G$1004,5,FALSE)</f>
        <v>#N/A</v>
      </c>
    </row>
    <row r="88" spans="1:12" x14ac:dyDescent="0.2">
      <c r="A88">
        <f>'Shipment Data for Provisioning'!B93</f>
        <v>0</v>
      </c>
      <c r="B88">
        <f>'Shipment Data for Provisioning'!C93</f>
        <v>0</v>
      </c>
      <c r="C88">
        <f>'Shipment Data for Provisioning'!D93</f>
        <v>0</v>
      </c>
      <c r="D88">
        <f>'Shipment Data for Provisioning'!E93</f>
        <v>0</v>
      </c>
      <c r="E88">
        <f>'Shipment Data for Provisioning'!F93</f>
        <v>0</v>
      </c>
      <c r="F88">
        <f>'Shipment Data for Provisioning'!G93</f>
        <v>0</v>
      </c>
      <c r="G88">
        <f>'Shipment Data for Provisioning'!H93</f>
        <v>0</v>
      </c>
      <c r="H88">
        <f>'Shipment Data for Provisioning'!I93</f>
        <v>0</v>
      </c>
      <c r="I88" t="e">
        <f>VLOOKUP(B88,'Location Data'!$C$5:$G$1004,4,FALSE)</f>
        <v>#N/A</v>
      </c>
      <c r="J88" t="e">
        <f>VLOOKUP(B88,'Location Data'!$C$5:$G$1004,5,FALSE)</f>
        <v>#N/A</v>
      </c>
      <c r="K88" t="e">
        <f>VLOOKUP(C88,'Location Data'!$C$5:$G$1004,4,FALSE)</f>
        <v>#N/A</v>
      </c>
      <c r="L88" t="e">
        <f>VLOOKUP(C88,'Location Data'!$C$5:$G$1004,5,FALSE)</f>
        <v>#N/A</v>
      </c>
    </row>
    <row r="89" spans="1:12" x14ac:dyDescent="0.2">
      <c r="A89">
        <f>'Shipment Data for Provisioning'!B94</f>
        <v>0</v>
      </c>
      <c r="B89">
        <f>'Shipment Data for Provisioning'!C94</f>
        <v>0</v>
      </c>
      <c r="C89">
        <f>'Shipment Data for Provisioning'!D94</f>
        <v>0</v>
      </c>
      <c r="D89">
        <f>'Shipment Data for Provisioning'!E94</f>
        <v>0</v>
      </c>
      <c r="E89">
        <f>'Shipment Data for Provisioning'!F94</f>
        <v>0</v>
      </c>
      <c r="F89">
        <f>'Shipment Data for Provisioning'!G94</f>
        <v>0</v>
      </c>
      <c r="G89">
        <f>'Shipment Data for Provisioning'!H94</f>
        <v>0</v>
      </c>
      <c r="H89">
        <f>'Shipment Data for Provisioning'!I94</f>
        <v>0</v>
      </c>
      <c r="I89" t="e">
        <f>VLOOKUP(B89,'Location Data'!$C$5:$G$1004,4,FALSE)</f>
        <v>#N/A</v>
      </c>
      <c r="J89" t="e">
        <f>VLOOKUP(B89,'Location Data'!$C$5:$G$1004,5,FALSE)</f>
        <v>#N/A</v>
      </c>
      <c r="K89" t="e">
        <f>VLOOKUP(C89,'Location Data'!$C$5:$G$1004,4,FALSE)</f>
        <v>#N/A</v>
      </c>
      <c r="L89" t="e">
        <f>VLOOKUP(C89,'Location Data'!$C$5:$G$1004,5,FALSE)</f>
        <v>#N/A</v>
      </c>
    </row>
    <row r="90" spans="1:12" x14ac:dyDescent="0.2">
      <c r="A90">
        <f>'Shipment Data for Provisioning'!B95</f>
        <v>0</v>
      </c>
      <c r="B90">
        <f>'Shipment Data for Provisioning'!C95</f>
        <v>0</v>
      </c>
      <c r="C90">
        <f>'Shipment Data for Provisioning'!D95</f>
        <v>0</v>
      </c>
      <c r="D90">
        <f>'Shipment Data for Provisioning'!E95</f>
        <v>0</v>
      </c>
      <c r="E90">
        <f>'Shipment Data for Provisioning'!F95</f>
        <v>0</v>
      </c>
      <c r="F90">
        <f>'Shipment Data for Provisioning'!G95</f>
        <v>0</v>
      </c>
      <c r="G90">
        <f>'Shipment Data for Provisioning'!H95</f>
        <v>0</v>
      </c>
      <c r="H90">
        <f>'Shipment Data for Provisioning'!I95</f>
        <v>0</v>
      </c>
      <c r="I90" t="e">
        <f>VLOOKUP(B90,'Location Data'!$C$5:$G$1004,4,FALSE)</f>
        <v>#N/A</v>
      </c>
      <c r="J90" t="e">
        <f>VLOOKUP(B90,'Location Data'!$C$5:$G$1004,5,FALSE)</f>
        <v>#N/A</v>
      </c>
      <c r="K90" t="e">
        <f>VLOOKUP(C90,'Location Data'!$C$5:$G$1004,4,FALSE)</f>
        <v>#N/A</v>
      </c>
      <c r="L90" t="e">
        <f>VLOOKUP(C90,'Location Data'!$C$5:$G$1004,5,FALSE)</f>
        <v>#N/A</v>
      </c>
    </row>
    <row r="91" spans="1:12" x14ac:dyDescent="0.2">
      <c r="A91">
        <f>'Shipment Data for Provisioning'!B96</f>
        <v>0</v>
      </c>
      <c r="B91">
        <f>'Shipment Data for Provisioning'!C96</f>
        <v>0</v>
      </c>
      <c r="C91">
        <f>'Shipment Data for Provisioning'!D96</f>
        <v>0</v>
      </c>
      <c r="D91">
        <f>'Shipment Data for Provisioning'!E96</f>
        <v>0</v>
      </c>
      <c r="E91">
        <f>'Shipment Data for Provisioning'!F96</f>
        <v>0</v>
      </c>
      <c r="F91">
        <f>'Shipment Data for Provisioning'!G96</f>
        <v>0</v>
      </c>
      <c r="G91">
        <f>'Shipment Data for Provisioning'!H96</f>
        <v>0</v>
      </c>
      <c r="H91">
        <f>'Shipment Data for Provisioning'!I96</f>
        <v>0</v>
      </c>
      <c r="I91" t="e">
        <f>VLOOKUP(B91,'Location Data'!$C$5:$G$1004,4,FALSE)</f>
        <v>#N/A</v>
      </c>
      <c r="J91" t="e">
        <f>VLOOKUP(B91,'Location Data'!$C$5:$G$1004,5,FALSE)</f>
        <v>#N/A</v>
      </c>
      <c r="K91" t="e">
        <f>VLOOKUP(C91,'Location Data'!$C$5:$G$1004,4,FALSE)</f>
        <v>#N/A</v>
      </c>
      <c r="L91" t="e">
        <f>VLOOKUP(C91,'Location Data'!$C$5:$G$1004,5,FALSE)</f>
        <v>#N/A</v>
      </c>
    </row>
    <row r="92" spans="1:12" x14ac:dyDescent="0.2">
      <c r="A92">
        <f>'Shipment Data for Provisioning'!B97</f>
        <v>0</v>
      </c>
      <c r="B92">
        <f>'Shipment Data for Provisioning'!C97</f>
        <v>0</v>
      </c>
      <c r="C92">
        <f>'Shipment Data for Provisioning'!D97</f>
        <v>0</v>
      </c>
      <c r="D92">
        <f>'Shipment Data for Provisioning'!E97</f>
        <v>0</v>
      </c>
      <c r="E92">
        <f>'Shipment Data for Provisioning'!F97</f>
        <v>0</v>
      </c>
      <c r="F92">
        <f>'Shipment Data for Provisioning'!G97</f>
        <v>0</v>
      </c>
      <c r="G92">
        <f>'Shipment Data for Provisioning'!H97</f>
        <v>0</v>
      </c>
      <c r="H92">
        <f>'Shipment Data for Provisioning'!I97</f>
        <v>0</v>
      </c>
      <c r="I92" t="e">
        <f>VLOOKUP(B92,'Location Data'!$C$5:$G$1004,4,FALSE)</f>
        <v>#N/A</v>
      </c>
      <c r="J92" t="e">
        <f>VLOOKUP(B92,'Location Data'!$C$5:$G$1004,5,FALSE)</f>
        <v>#N/A</v>
      </c>
      <c r="K92" t="e">
        <f>VLOOKUP(C92,'Location Data'!$C$5:$G$1004,4,FALSE)</f>
        <v>#N/A</v>
      </c>
      <c r="L92" t="e">
        <f>VLOOKUP(C92,'Location Data'!$C$5:$G$1004,5,FALSE)</f>
        <v>#N/A</v>
      </c>
    </row>
    <row r="93" spans="1:12" x14ac:dyDescent="0.2">
      <c r="A93">
        <f>'Shipment Data for Provisioning'!B98</f>
        <v>0</v>
      </c>
      <c r="B93">
        <f>'Shipment Data for Provisioning'!C98</f>
        <v>0</v>
      </c>
      <c r="C93">
        <f>'Shipment Data for Provisioning'!D98</f>
        <v>0</v>
      </c>
      <c r="D93">
        <f>'Shipment Data for Provisioning'!E98</f>
        <v>0</v>
      </c>
      <c r="E93">
        <f>'Shipment Data for Provisioning'!F98</f>
        <v>0</v>
      </c>
      <c r="F93">
        <f>'Shipment Data for Provisioning'!G98</f>
        <v>0</v>
      </c>
      <c r="G93">
        <f>'Shipment Data for Provisioning'!H98</f>
        <v>0</v>
      </c>
      <c r="H93">
        <f>'Shipment Data for Provisioning'!I98</f>
        <v>0</v>
      </c>
      <c r="I93" t="e">
        <f>VLOOKUP(B93,'Location Data'!$C$5:$G$1004,4,FALSE)</f>
        <v>#N/A</v>
      </c>
      <c r="J93" t="e">
        <f>VLOOKUP(B93,'Location Data'!$C$5:$G$1004,5,FALSE)</f>
        <v>#N/A</v>
      </c>
      <c r="K93" t="e">
        <f>VLOOKUP(C93,'Location Data'!$C$5:$G$1004,4,FALSE)</f>
        <v>#N/A</v>
      </c>
      <c r="L93" t="e">
        <f>VLOOKUP(C93,'Location Data'!$C$5:$G$1004,5,FALSE)</f>
        <v>#N/A</v>
      </c>
    </row>
    <row r="94" spans="1:12" x14ac:dyDescent="0.2">
      <c r="A94">
        <f>'Shipment Data for Provisioning'!B99</f>
        <v>0</v>
      </c>
      <c r="B94">
        <f>'Shipment Data for Provisioning'!C99</f>
        <v>0</v>
      </c>
      <c r="C94">
        <f>'Shipment Data for Provisioning'!D99</f>
        <v>0</v>
      </c>
      <c r="D94">
        <f>'Shipment Data for Provisioning'!E99</f>
        <v>0</v>
      </c>
      <c r="E94">
        <f>'Shipment Data for Provisioning'!F99</f>
        <v>0</v>
      </c>
      <c r="F94">
        <f>'Shipment Data for Provisioning'!G99</f>
        <v>0</v>
      </c>
      <c r="G94">
        <f>'Shipment Data for Provisioning'!H99</f>
        <v>0</v>
      </c>
      <c r="H94">
        <f>'Shipment Data for Provisioning'!I99</f>
        <v>0</v>
      </c>
      <c r="I94" t="e">
        <f>VLOOKUP(B94,'Location Data'!$C$5:$G$1004,4,FALSE)</f>
        <v>#N/A</v>
      </c>
      <c r="J94" t="e">
        <f>VLOOKUP(B94,'Location Data'!$C$5:$G$1004,5,FALSE)</f>
        <v>#N/A</v>
      </c>
      <c r="K94" t="e">
        <f>VLOOKUP(C94,'Location Data'!$C$5:$G$1004,4,FALSE)</f>
        <v>#N/A</v>
      </c>
      <c r="L94" t="e">
        <f>VLOOKUP(C94,'Location Data'!$C$5:$G$1004,5,FALSE)</f>
        <v>#N/A</v>
      </c>
    </row>
    <row r="95" spans="1:12" x14ac:dyDescent="0.2">
      <c r="A95">
        <f>'Shipment Data for Provisioning'!B100</f>
        <v>0</v>
      </c>
      <c r="B95">
        <f>'Shipment Data for Provisioning'!C100</f>
        <v>0</v>
      </c>
      <c r="C95">
        <f>'Shipment Data for Provisioning'!D100</f>
        <v>0</v>
      </c>
      <c r="D95">
        <f>'Shipment Data for Provisioning'!E100</f>
        <v>0</v>
      </c>
      <c r="E95">
        <f>'Shipment Data for Provisioning'!F100</f>
        <v>0</v>
      </c>
      <c r="F95">
        <f>'Shipment Data for Provisioning'!G100</f>
        <v>0</v>
      </c>
      <c r="G95">
        <f>'Shipment Data for Provisioning'!H100</f>
        <v>0</v>
      </c>
      <c r="H95">
        <f>'Shipment Data for Provisioning'!I100</f>
        <v>0</v>
      </c>
      <c r="I95" t="e">
        <f>VLOOKUP(B95,'Location Data'!$C$5:$G$1004,4,FALSE)</f>
        <v>#N/A</v>
      </c>
      <c r="J95" t="e">
        <f>VLOOKUP(B95,'Location Data'!$C$5:$G$1004,5,FALSE)</f>
        <v>#N/A</v>
      </c>
      <c r="K95" t="e">
        <f>VLOOKUP(C95,'Location Data'!$C$5:$G$1004,4,FALSE)</f>
        <v>#N/A</v>
      </c>
      <c r="L95" t="e">
        <f>VLOOKUP(C95,'Location Data'!$C$5:$G$1004,5,FALSE)</f>
        <v>#N/A</v>
      </c>
    </row>
    <row r="96" spans="1:12" x14ac:dyDescent="0.2">
      <c r="A96">
        <f>'Shipment Data for Provisioning'!B101</f>
        <v>0</v>
      </c>
      <c r="B96">
        <f>'Shipment Data for Provisioning'!C101</f>
        <v>0</v>
      </c>
      <c r="C96">
        <f>'Shipment Data for Provisioning'!D101</f>
        <v>0</v>
      </c>
      <c r="D96">
        <f>'Shipment Data for Provisioning'!E101</f>
        <v>0</v>
      </c>
      <c r="E96">
        <f>'Shipment Data for Provisioning'!F101</f>
        <v>0</v>
      </c>
      <c r="F96">
        <f>'Shipment Data for Provisioning'!G101</f>
        <v>0</v>
      </c>
      <c r="G96">
        <f>'Shipment Data for Provisioning'!H101</f>
        <v>0</v>
      </c>
      <c r="H96">
        <f>'Shipment Data for Provisioning'!I101</f>
        <v>0</v>
      </c>
      <c r="I96" t="e">
        <f>VLOOKUP(B96,'Location Data'!$C$5:$G$1004,4,FALSE)</f>
        <v>#N/A</v>
      </c>
      <c r="J96" t="e">
        <f>VLOOKUP(B96,'Location Data'!$C$5:$G$1004,5,FALSE)</f>
        <v>#N/A</v>
      </c>
      <c r="K96" t="e">
        <f>VLOOKUP(C96,'Location Data'!$C$5:$G$1004,4,FALSE)</f>
        <v>#N/A</v>
      </c>
      <c r="L96" t="e">
        <f>VLOOKUP(C96,'Location Data'!$C$5:$G$1004,5,FALSE)</f>
        <v>#N/A</v>
      </c>
    </row>
    <row r="97" spans="1:12" x14ac:dyDescent="0.2">
      <c r="A97">
        <f>'Shipment Data for Provisioning'!B102</f>
        <v>0</v>
      </c>
      <c r="B97">
        <f>'Shipment Data for Provisioning'!C102</f>
        <v>0</v>
      </c>
      <c r="C97">
        <f>'Shipment Data for Provisioning'!D102</f>
        <v>0</v>
      </c>
      <c r="D97">
        <f>'Shipment Data for Provisioning'!E102</f>
        <v>0</v>
      </c>
      <c r="E97">
        <f>'Shipment Data for Provisioning'!F102</f>
        <v>0</v>
      </c>
      <c r="F97">
        <f>'Shipment Data for Provisioning'!G102</f>
        <v>0</v>
      </c>
      <c r="G97">
        <f>'Shipment Data for Provisioning'!H102</f>
        <v>0</v>
      </c>
      <c r="H97">
        <f>'Shipment Data for Provisioning'!I102</f>
        <v>0</v>
      </c>
      <c r="I97" t="e">
        <f>VLOOKUP(B97,'Location Data'!$C$5:$G$1004,4,FALSE)</f>
        <v>#N/A</v>
      </c>
      <c r="J97" t="e">
        <f>VLOOKUP(B97,'Location Data'!$C$5:$G$1004,5,FALSE)</f>
        <v>#N/A</v>
      </c>
      <c r="K97" t="e">
        <f>VLOOKUP(C97,'Location Data'!$C$5:$G$1004,4,FALSE)</f>
        <v>#N/A</v>
      </c>
      <c r="L97" t="e">
        <f>VLOOKUP(C97,'Location Data'!$C$5:$G$1004,5,FALSE)</f>
        <v>#N/A</v>
      </c>
    </row>
    <row r="98" spans="1:12" x14ac:dyDescent="0.2">
      <c r="A98">
        <f>'Shipment Data for Provisioning'!B103</f>
        <v>0</v>
      </c>
      <c r="B98">
        <f>'Shipment Data for Provisioning'!C103</f>
        <v>0</v>
      </c>
      <c r="C98">
        <f>'Shipment Data for Provisioning'!D103</f>
        <v>0</v>
      </c>
      <c r="D98">
        <f>'Shipment Data for Provisioning'!E103</f>
        <v>0</v>
      </c>
      <c r="E98">
        <f>'Shipment Data for Provisioning'!F103</f>
        <v>0</v>
      </c>
      <c r="F98">
        <f>'Shipment Data for Provisioning'!G103</f>
        <v>0</v>
      </c>
      <c r="G98">
        <f>'Shipment Data for Provisioning'!H103</f>
        <v>0</v>
      </c>
      <c r="H98">
        <f>'Shipment Data for Provisioning'!I103</f>
        <v>0</v>
      </c>
      <c r="I98" t="e">
        <f>VLOOKUP(B98,'Location Data'!$C$5:$G$1004,4,FALSE)</f>
        <v>#N/A</v>
      </c>
      <c r="J98" t="e">
        <f>VLOOKUP(B98,'Location Data'!$C$5:$G$1004,5,FALSE)</f>
        <v>#N/A</v>
      </c>
      <c r="K98" t="e">
        <f>VLOOKUP(C98,'Location Data'!$C$5:$G$1004,4,FALSE)</f>
        <v>#N/A</v>
      </c>
      <c r="L98" t="e">
        <f>VLOOKUP(C98,'Location Data'!$C$5:$G$1004,5,FALSE)</f>
        <v>#N/A</v>
      </c>
    </row>
    <row r="99" spans="1:12" x14ac:dyDescent="0.2">
      <c r="A99">
        <f>'Shipment Data for Provisioning'!B104</f>
        <v>0</v>
      </c>
      <c r="B99">
        <f>'Shipment Data for Provisioning'!C104</f>
        <v>0</v>
      </c>
      <c r="C99">
        <f>'Shipment Data for Provisioning'!D104</f>
        <v>0</v>
      </c>
      <c r="D99">
        <f>'Shipment Data for Provisioning'!E104</f>
        <v>0</v>
      </c>
      <c r="E99">
        <f>'Shipment Data for Provisioning'!F104</f>
        <v>0</v>
      </c>
      <c r="F99">
        <f>'Shipment Data for Provisioning'!G104</f>
        <v>0</v>
      </c>
      <c r="G99">
        <f>'Shipment Data for Provisioning'!H104</f>
        <v>0</v>
      </c>
      <c r="H99">
        <f>'Shipment Data for Provisioning'!I104</f>
        <v>0</v>
      </c>
      <c r="I99" t="e">
        <f>VLOOKUP(B99,'Location Data'!$C$5:$G$1004,4,FALSE)</f>
        <v>#N/A</v>
      </c>
      <c r="J99" t="e">
        <f>VLOOKUP(B99,'Location Data'!$C$5:$G$1004,5,FALSE)</f>
        <v>#N/A</v>
      </c>
      <c r="K99" t="e">
        <f>VLOOKUP(C99,'Location Data'!$C$5:$G$1004,4,FALSE)</f>
        <v>#N/A</v>
      </c>
      <c r="L99" t="e">
        <f>VLOOKUP(C99,'Location Data'!$C$5:$G$1004,5,FALSE)</f>
        <v>#N/A</v>
      </c>
    </row>
    <row r="100" spans="1:12" x14ac:dyDescent="0.2">
      <c r="A100">
        <f>'Shipment Data for Provisioning'!B105</f>
        <v>0</v>
      </c>
      <c r="B100">
        <f>'Shipment Data for Provisioning'!C105</f>
        <v>0</v>
      </c>
      <c r="C100">
        <f>'Shipment Data for Provisioning'!D105</f>
        <v>0</v>
      </c>
      <c r="D100">
        <f>'Shipment Data for Provisioning'!E105</f>
        <v>0</v>
      </c>
      <c r="E100">
        <f>'Shipment Data for Provisioning'!F105</f>
        <v>0</v>
      </c>
      <c r="F100">
        <f>'Shipment Data for Provisioning'!G105</f>
        <v>0</v>
      </c>
      <c r="G100">
        <f>'Shipment Data for Provisioning'!H105</f>
        <v>0</v>
      </c>
      <c r="H100">
        <f>'Shipment Data for Provisioning'!I105</f>
        <v>0</v>
      </c>
      <c r="I100" t="e">
        <f>VLOOKUP(B100,'Location Data'!$C$5:$G$1004,4,FALSE)</f>
        <v>#N/A</v>
      </c>
      <c r="J100" t="e">
        <f>VLOOKUP(B100,'Location Data'!$C$5:$G$1004,5,FALSE)</f>
        <v>#N/A</v>
      </c>
      <c r="K100" t="e">
        <f>VLOOKUP(C100,'Location Data'!$C$5:$G$1004,4,FALSE)</f>
        <v>#N/A</v>
      </c>
      <c r="L100" t="e">
        <f>VLOOKUP(C100,'Location Data'!$C$5:$G$1004,5,FALSE)</f>
        <v>#N/A</v>
      </c>
    </row>
    <row r="101" spans="1:12" x14ac:dyDescent="0.2">
      <c r="A101">
        <f>'Shipment Data for Provisioning'!B106</f>
        <v>0</v>
      </c>
      <c r="B101">
        <f>'Shipment Data for Provisioning'!C106</f>
        <v>0</v>
      </c>
      <c r="C101">
        <f>'Shipment Data for Provisioning'!D106</f>
        <v>0</v>
      </c>
      <c r="D101">
        <f>'Shipment Data for Provisioning'!E106</f>
        <v>0</v>
      </c>
      <c r="E101">
        <f>'Shipment Data for Provisioning'!F106</f>
        <v>0</v>
      </c>
      <c r="F101">
        <f>'Shipment Data for Provisioning'!G106</f>
        <v>0</v>
      </c>
      <c r="G101">
        <f>'Shipment Data for Provisioning'!H106</f>
        <v>0</v>
      </c>
      <c r="H101">
        <f>'Shipment Data for Provisioning'!I106</f>
        <v>0</v>
      </c>
      <c r="I101" t="e">
        <f>VLOOKUP(B101,'Location Data'!$C$5:$G$1004,4,FALSE)</f>
        <v>#N/A</v>
      </c>
      <c r="J101" t="e">
        <f>VLOOKUP(B101,'Location Data'!$C$5:$G$1004,5,FALSE)</f>
        <v>#N/A</v>
      </c>
      <c r="K101" t="e">
        <f>VLOOKUP(C101,'Location Data'!$C$5:$G$1004,4,FALSE)</f>
        <v>#N/A</v>
      </c>
      <c r="L101" t="e">
        <f>VLOOKUP(C101,'Location Data'!$C$5:$G$1004,5,FALSE)</f>
        <v>#N/A</v>
      </c>
    </row>
    <row r="102" spans="1:12" x14ac:dyDescent="0.2">
      <c r="A102">
        <f>'Shipment Data for Provisioning'!B107</f>
        <v>0</v>
      </c>
      <c r="B102">
        <f>'Shipment Data for Provisioning'!C107</f>
        <v>0</v>
      </c>
      <c r="C102">
        <f>'Shipment Data for Provisioning'!D107</f>
        <v>0</v>
      </c>
      <c r="D102">
        <f>'Shipment Data for Provisioning'!E107</f>
        <v>0</v>
      </c>
      <c r="E102">
        <f>'Shipment Data for Provisioning'!F107</f>
        <v>0</v>
      </c>
      <c r="F102">
        <f>'Shipment Data for Provisioning'!G107</f>
        <v>0</v>
      </c>
      <c r="G102">
        <f>'Shipment Data for Provisioning'!H107</f>
        <v>0</v>
      </c>
      <c r="H102">
        <f>'Shipment Data for Provisioning'!I107</f>
        <v>0</v>
      </c>
      <c r="I102" t="e">
        <f>VLOOKUP(B102,'Location Data'!$C$5:$G$1004,4,FALSE)</f>
        <v>#N/A</v>
      </c>
      <c r="J102" t="e">
        <f>VLOOKUP(B102,'Location Data'!$C$5:$G$1004,5,FALSE)</f>
        <v>#N/A</v>
      </c>
      <c r="K102" t="e">
        <f>VLOOKUP(C102,'Location Data'!$C$5:$G$1004,4,FALSE)</f>
        <v>#N/A</v>
      </c>
      <c r="L102" t="e">
        <f>VLOOKUP(C102,'Location Data'!$C$5:$G$1004,5,FALSE)</f>
        <v>#N/A</v>
      </c>
    </row>
    <row r="103" spans="1:12" x14ac:dyDescent="0.2">
      <c r="A103">
        <f>'Shipment Data for Provisioning'!B108</f>
        <v>0</v>
      </c>
      <c r="B103">
        <f>'Shipment Data for Provisioning'!C108</f>
        <v>0</v>
      </c>
      <c r="C103">
        <f>'Shipment Data for Provisioning'!D108</f>
        <v>0</v>
      </c>
      <c r="D103">
        <f>'Shipment Data for Provisioning'!E108</f>
        <v>0</v>
      </c>
      <c r="E103">
        <f>'Shipment Data for Provisioning'!F108</f>
        <v>0</v>
      </c>
      <c r="F103">
        <f>'Shipment Data for Provisioning'!G108</f>
        <v>0</v>
      </c>
      <c r="G103">
        <f>'Shipment Data for Provisioning'!H108</f>
        <v>0</v>
      </c>
      <c r="H103">
        <f>'Shipment Data for Provisioning'!I108</f>
        <v>0</v>
      </c>
      <c r="I103" t="e">
        <f>VLOOKUP(B103,'Location Data'!$C$5:$G$1004,4,FALSE)</f>
        <v>#N/A</v>
      </c>
      <c r="J103" t="e">
        <f>VLOOKUP(B103,'Location Data'!$C$5:$G$1004,5,FALSE)</f>
        <v>#N/A</v>
      </c>
      <c r="K103" t="e">
        <f>VLOOKUP(C103,'Location Data'!$C$5:$G$1004,4,FALSE)</f>
        <v>#N/A</v>
      </c>
      <c r="L103" t="e">
        <f>VLOOKUP(C103,'Location Data'!$C$5:$G$1004,5,FALSE)</f>
        <v>#N/A</v>
      </c>
    </row>
    <row r="104" spans="1:12" x14ac:dyDescent="0.2">
      <c r="A104">
        <f>'Shipment Data for Provisioning'!B109</f>
        <v>0</v>
      </c>
      <c r="B104">
        <f>'Shipment Data for Provisioning'!C109</f>
        <v>0</v>
      </c>
      <c r="C104">
        <f>'Shipment Data for Provisioning'!D109</f>
        <v>0</v>
      </c>
      <c r="D104">
        <f>'Shipment Data for Provisioning'!E109</f>
        <v>0</v>
      </c>
      <c r="E104">
        <f>'Shipment Data for Provisioning'!F109</f>
        <v>0</v>
      </c>
      <c r="F104">
        <f>'Shipment Data for Provisioning'!G109</f>
        <v>0</v>
      </c>
      <c r="G104">
        <f>'Shipment Data for Provisioning'!H109</f>
        <v>0</v>
      </c>
      <c r="H104">
        <f>'Shipment Data for Provisioning'!I109</f>
        <v>0</v>
      </c>
      <c r="I104" t="e">
        <f>VLOOKUP(B104,'Location Data'!$C$5:$G$1004,4,FALSE)</f>
        <v>#N/A</v>
      </c>
      <c r="J104" t="e">
        <f>VLOOKUP(B104,'Location Data'!$C$5:$G$1004,5,FALSE)</f>
        <v>#N/A</v>
      </c>
      <c r="K104" t="e">
        <f>VLOOKUP(C104,'Location Data'!$C$5:$G$1004,4,FALSE)</f>
        <v>#N/A</v>
      </c>
      <c r="L104" t="e">
        <f>VLOOKUP(C104,'Location Data'!$C$5:$G$1004,5,FALSE)</f>
        <v>#N/A</v>
      </c>
    </row>
    <row r="105" spans="1:12" x14ac:dyDescent="0.2">
      <c r="A105">
        <f>'Shipment Data for Provisioning'!B110</f>
        <v>0</v>
      </c>
      <c r="B105">
        <f>'Shipment Data for Provisioning'!C110</f>
        <v>0</v>
      </c>
      <c r="C105">
        <f>'Shipment Data for Provisioning'!D110</f>
        <v>0</v>
      </c>
      <c r="D105">
        <f>'Shipment Data for Provisioning'!E110</f>
        <v>0</v>
      </c>
      <c r="E105">
        <f>'Shipment Data for Provisioning'!F110</f>
        <v>0</v>
      </c>
      <c r="F105">
        <f>'Shipment Data for Provisioning'!G110</f>
        <v>0</v>
      </c>
      <c r="G105">
        <f>'Shipment Data for Provisioning'!H110</f>
        <v>0</v>
      </c>
      <c r="H105">
        <f>'Shipment Data for Provisioning'!I110</f>
        <v>0</v>
      </c>
      <c r="I105" t="e">
        <f>VLOOKUP(B105,'Location Data'!$C$5:$G$1004,4,FALSE)</f>
        <v>#N/A</v>
      </c>
      <c r="J105" t="e">
        <f>VLOOKUP(B105,'Location Data'!$C$5:$G$1004,5,FALSE)</f>
        <v>#N/A</v>
      </c>
      <c r="K105" t="e">
        <f>VLOOKUP(C105,'Location Data'!$C$5:$G$1004,4,FALSE)</f>
        <v>#N/A</v>
      </c>
      <c r="L105" t="e">
        <f>VLOOKUP(C105,'Location Data'!$C$5:$G$1004,5,FALSE)</f>
        <v>#N/A</v>
      </c>
    </row>
    <row r="106" spans="1:12" x14ac:dyDescent="0.2">
      <c r="A106">
        <f>'Shipment Data for Provisioning'!B111</f>
        <v>0</v>
      </c>
      <c r="B106">
        <f>'Shipment Data for Provisioning'!C111</f>
        <v>0</v>
      </c>
      <c r="C106">
        <f>'Shipment Data for Provisioning'!D111</f>
        <v>0</v>
      </c>
      <c r="D106">
        <f>'Shipment Data for Provisioning'!E111</f>
        <v>0</v>
      </c>
      <c r="E106">
        <f>'Shipment Data for Provisioning'!F111</f>
        <v>0</v>
      </c>
      <c r="F106">
        <f>'Shipment Data for Provisioning'!G111</f>
        <v>0</v>
      </c>
      <c r="G106">
        <f>'Shipment Data for Provisioning'!H111</f>
        <v>0</v>
      </c>
      <c r="H106">
        <f>'Shipment Data for Provisioning'!I111</f>
        <v>0</v>
      </c>
      <c r="I106" t="e">
        <f>VLOOKUP(B106,'Location Data'!$C$5:$G$1004,4,FALSE)</f>
        <v>#N/A</v>
      </c>
      <c r="J106" t="e">
        <f>VLOOKUP(B106,'Location Data'!$C$5:$G$1004,5,FALSE)</f>
        <v>#N/A</v>
      </c>
      <c r="K106" t="e">
        <f>VLOOKUP(C106,'Location Data'!$C$5:$G$1004,4,FALSE)</f>
        <v>#N/A</v>
      </c>
      <c r="L106" t="e">
        <f>VLOOKUP(C106,'Location Data'!$C$5:$G$1004,5,FALSE)</f>
        <v>#N/A</v>
      </c>
    </row>
    <row r="107" spans="1:12" x14ac:dyDescent="0.2">
      <c r="A107">
        <f>'Shipment Data for Provisioning'!B112</f>
        <v>0</v>
      </c>
      <c r="B107">
        <f>'Shipment Data for Provisioning'!C112</f>
        <v>0</v>
      </c>
      <c r="C107">
        <f>'Shipment Data for Provisioning'!D112</f>
        <v>0</v>
      </c>
      <c r="D107">
        <f>'Shipment Data for Provisioning'!E112</f>
        <v>0</v>
      </c>
      <c r="E107">
        <f>'Shipment Data for Provisioning'!F112</f>
        <v>0</v>
      </c>
      <c r="F107">
        <f>'Shipment Data for Provisioning'!G112</f>
        <v>0</v>
      </c>
      <c r="G107">
        <f>'Shipment Data for Provisioning'!H112</f>
        <v>0</v>
      </c>
      <c r="H107">
        <f>'Shipment Data for Provisioning'!I112</f>
        <v>0</v>
      </c>
      <c r="I107" t="e">
        <f>VLOOKUP(B107,'Location Data'!$C$5:$G$1004,4,FALSE)</f>
        <v>#N/A</v>
      </c>
      <c r="J107" t="e">
        <f>VLOOKUP(B107,'Location Data'!$C$5:$G$1004,5,FALSE)</f>
        <v>#N/A</v>
      </c>
      <c r="K107" t="e">
        <f>VLOOKUP(C107,'Location Data'!$C$5:$G$1004,4,FALSE)</f>
        <v>#N/A</v>
      </c>
      <c r="L107" t="e">
        <f>VLOOKUP(C107,'Location Data'!$C$5:$G$1004,5,FALSE)</f>
        <v>#N/A</v>
      </c>
    </row>
    <row r="108" spans="1:12" x14ac:dyDescent="0.2">
      <c r="A108">
        <f>'Shipment Data for Provisioning'!B113</f>
        <v>0</v>
      </c>
      <c r="B108">
        <f>'Shipment Data for Provisioning'!C113</f>
        <v>0</v>
      </c>
      <c r="C108">
        <f>'Shipment Data for Provisioning'!D113</f>
        <v>0</v>
      </c>
      <c r="D108">
        <f>'Shipment Data for Provisioning'!E113</f>
        <v>0</v>
      </c>
      <c r="E108">
        <f>'Shipment Data for Provisioning'!F113</f>
        <v>0</v>
      </c>
      <c r="F108">
        <f>'Shipment Data for Provisioning'!G113</f>
        <v>0</v>
      </c>
      <c r="G108">
        <f>'Shipment Data for Provisioning'!H113</f>
        <v>0</v>
      </c>
      <c r="H108">
        <f>'Shipment Data for Provisioning'!I113</f>
        <v>0</v>
      </c>
      <c r="I108" t="e">
        <f>VLOOKUP(B108,'Location Data'!$C$5:$G$1004,4,FALSE)</f>
        <v>#N/A</v>
      </c>
      <c r="J108" t="e">
        <f>VLOOKUP(B108,'Location Data'!$C$5:$G$1004,5,FALSE)</f>
        <v>#N/A</v>
      </c>
      <c r="K108" t="e">
        <f>VLOOKUP(C108,'Location Data'!$C$5:$G$1004,4,FALSE)</f>
        <v>#N/A</v>
      </c>
      <c r="L108" t="e">
        <f>VLOOKUP(C108,'Location Data'!$C$5:$G$1004,5,FALSE)</f>
        <v>#N/A</v>
      </c>
    </row>
    <row r="109" spans="1:12" x14ac:dyDescent="0.2">
      <c r="A109">
        <f>'Shipment Data for Provisioning'!B114</f>
        <v>0</v>
      </c>
      <c r="B109">
        <f>'Shipment Data for Provisioning'!C114</f>
        <v>0</v>
      </c>
      <c r="C109">
        <f>'Shipment Data for Provisioning'!D114</f>
        <v>0</v>
      </c>
      <c r="D109">
        <f>'Shipment Data for Provisioning'!E114</f>
        <v>0</v>
      </c>
      <c r="E109">
        <f>'Shipment Data for Provisioning'!F114</f>
        <v>0</v>
      </c>
      <c r="F109">
        <f>'Shipment Data for Provisioning'!G114</f>
        <v>0</v>
      </c>
      <c r="G109">
        <f>'Shipment Data for Provisioning'!H114</f>
        <v>0</v>
      </c>
      <c r="H109">
        <f>'Shipment Data for Provisioning'!I114</f>
        <v>0</v>
      </c>
      <c r="I109" t="e">
        <f>VLOOKUP(B109,'Location Data'!$C$5:$G$1004,4,FALSE)</f>
        <v>#N/A</v>
      </c>
      <c r="J109" t="e">
        <f>VLOOKUP(B109,'Location Data'!$C$5:$G$1004,5,FALSE)</f>
        <v>#N/A</v>
      </c>
      <c r="K109" t="e">
        <f>VLOOKUP(C109,'Location Data'!$C$5:$G$1004,4,FALSE)</f>
        <v>#N/A</v>
      </c>
      <c r="L109" t="e">
        <f>VLOOKUP(C109,'Location Data'!$C$5:$G$1004,5,FALSE)</f>
        <v>#N/A</v>
      </c>
    </row>
    <row r="110" spans="1:12" x14ac:dyDescent="0.2">
      <c r="A110">
        <f>'Shipment Data for Provisioning'!B115</f>
        <v>0</v>
      </c>
      <c r="B110">
        <f>'Shipment Data for Provisioning'!C115</f>
        <v>0</v>
      </c>
      <c r="C110">
        <f>'Shipment Data for Provisioning'!D115</f>
        <v>0</v>
      </c>
      <c r="D110">
        <f>'Shipment Data for Provisioning'!E115</f>
        <v>0</v>
      </c>
      <c r="E110">
        <f>'Shipment Data for Provisioning'!F115</f>
        <v>0</v>
      </c>
      <c r="F110">
        <f>'Shipment Data for Provisioning'!G115</f>
        <v>0</v>
      </c>
      <c r="G110">
        <f>'Shipment Data for Provisioning'!H115</f>
        <v>0</v>
      </c>
      <c r="H110">
        <f>'Shipment Data for Provisioning'!I115</f>
        <v>0</v>
      </c>
      <c r="I110" t="e">
        <f>VLOOKUP(B110,'Location Data'!$C$5:$G$1004,4,FALSE)</f>
        <v>#N/A</v>
      </c>
      <c r="J110" t="e">
        <f>VLOOKUP(B110,'Location Data'!$C$5:$G$1004,5,FALSE)</f>
        <v>#N/A</v>
      </c>
      <c r="K110" t="e">
        <f>VLOOKUP(C110,'Location Data'!$C$5:$G$1004,4,FALSE)</f>
        <v>#N/A</v>
      </c>
      <c r="L110" t="e">
        <f>VLOOKUP(C110,'Location Data'!$C$5:$G$1004,5,FALSE)</f>
        <v>#N/A</v>
      </c>
    </row>
    <row r="111" spans="1:12" x14ac:dyDescent="0.2">
      <c r="A111">
        <f>'Shipment Data for Provisioning'!B116</f>
        <v>0</v>
      </c>
      <c r="B111">
        <f>'Shipment Data for Provisioning'!C116</f>
        <v>0</v>
      </c>
      <c r="C111">
        <f>'Shipment Data for Provisioning'!D116</f>
        <v>0</v>
      </c>
      <c r="D111">
        <f>'Shipment Data for Provisioning'!E116</f>
        <v>0</v>
      </c>
      <c r="E111">
        <f>'Shipment Data for Provisioning'!F116</f>
        <v>0</v>
      </c>
      <c r="F111">
        <f>'Shipment Data for Provisioning'!G116</f>
        <v>0</v>
      </c>
      <c r="G111">
        <f>'Shipment Data for Provisioning'!H116</f>
        <v>0</v>
      </c>
      <c r="H111">
        <f>'Shipment Data for Provisioning'!I116</f>
        <v>0</v>
      </c>
      <c r="I111" t="e">
        <f>VLOOKUP(B111,'Location Data'!$C$5:$G$1004,4,FALSE)</f>
        <v>#N/A</v>
      </c>
      <c r="J111" t="e">
        <f>VLOOKUP(B111,'Location Data'!$C$5:$G$1004,5,FALSE)</f>
        <v>#N/A</v>
      </c>
      <c r="K111" t="e">
        <f>VLOOKUP(C111,'Location Data'!$C$5:$G$1004,4,FALSE)</f>
        <v>#N/A</v>
      </c>
      <c r="L111" t="e">
        <f>VLOOKUP(C111,'Location Data'!$C$5:$G$1004,5,FALSE)</f>
        <v>#N/A</v>
      </c>
    </row>
    <row r="112" spans="1:12" x14ac:dyDescent="0.2">
      <c r="A112">
        <f>'Shipment Data for Provisioning'!B117</f>
        <v>0</v>
      </c>
      <c r="B112">
        <f>'Shipment Data for Provisioning'!C117</f>
        <v>0</v>
      </c>
      <c r="C112">
        <f>'Shipment Data for Provisioning'!D117</f>
        <v>0</v>
      </c>
      <c r="D112">
        <f>'Shipment Data for Provisioning'!E117</f>
        <v>0</v>
      </c>
      <c r="E112">
        <f>'Shipment Data for Provisioning'!F117</f>
        <v>0</v>
      </c>
      <c r="F112">
        <f>'Shipment Data for Provisioning'!G117</f>
        <v>0</v>
      </c>
      <c r="G112">
        <f>'Shipment Data for Provisioning'!H117</f>
        <v>0</v>
      </c>
      <c r="H112">
        <f>'Shipment Data for Provisioning'!I117</f>
        <v>0</v>
      </c>
      <c r="I112" t="e">
        <f>VLOOKUP(B112,'Location Data'!$C$5:$G$1004,4,FALSE)</f>
        <v>#N/A</v>
      </c>
      <c r="J112" t="e">
        <f>VLOOKUP(B112,'Location Data'!$C$5:$G$1004,5,FALSE)</f>
        <v>#N/A</v>
      </c>
      <c r="K112" t="e">
        <f>VLOOKUP(C112,'Location Data'!$C$5:$G$1004,4,FALSE)</f>
        <v>#N/A</v>
      </c>
      <c r="L112" t="e">
        <f>VLOOKUP(C112,'Location Data'!$C$5:$G$1004,5,FALSE)</f>
        <v>#N/A</v>
      </c>
    </row>
    <row r="113" spans="1:12" x14ac:dyDescent="0.2">
      <c r="A113">
        <f>'Shipment Data for Provisioning'!B118</f>
        <v>0</v>
      </c>
      <c r="B113">
        <f>'Shipment Data for Provisioning'!C118</f>
        <v>0</v>
      </c>
      <c r="C113">
        <f>'Shipment Data for Provisioning'!D118</f>
        <v>0</v>
      </c>
      <c r="D113">
        <f>'Shipment Data for Provisioning'!E118</f>
        <v>0</v>
      </c>
      <c r="E113">
        <f>'Shipment Data for Provisioning'!F118</f>
        <v>0</v>
      </c>
      <c r="F113">
        <f>'Shipment Data for Provisioning'!G118</f>
        <v>0</v>
      </c>
      <c r="G113">
        <f>'Shipment Data for Provisioning'!H118</f>
        <v>0</v>
      </c>
      <c r="H113">
        <f>'Shipment Data for Provisioning'!I118</f>
        <v>0</v>
      </c>
      <c r="I113" t="e">
        <f>VLOOKUP(B113,'Location Data'!$C$5:$G$1004,4,FALSE)</f>
        <v>#N/A</v>
      </c>
      <c r="J113" t="e">
        <f>VLOOKUP(B113,'Location Data'!$C$5:$G$1004,5,FALSE)</f>
        <v>#N/A</v>
      </c>
      <c r="K113" t="e">
        <f>VLOOKUP(C113,'Location Data'!$C$5:$G$1004,4,FALSE)</f>
        <v>#N/A</v>
      </c>
      <c r="L113" t="e">
        <f>VLOOKUP(C113,'Location Data'!$C$5:$G$1004,5,FALSE)</f>
        <v>#N/A</v>
      </c>
    </row>
    <row r="114" spans="1:12" x14ac:dyDescent="0.2">
      <c r="A114">
        <f>'Shipment Data for Provisioning'!B119</f>
        <v>0</v>
      </c>
      <c r="B114">
        <f>'Shipment Data for Provisioning'!C119</f>
        <v>0</v>
      </c>
      <c r="C114">
        <f>'Shipment Data for Provisioning'!D119</f>
        <v>0</v>
      </c>
      <c r="D114">
        <f>'Shipment Data for Provisioning'!E119</f>
        <v>0</v>
      </c>
      <c r="E114">
        <f>'Shipment Data for Provisioning'!F119</f>
        <v>0</v>
      </c>
      <c r="F114">
        <f>'Shipment Data for Provisioning'!G119</f>
        <v>0</v>
      </c>
      <c r="G114">
        <f>'Shipment Data for Provisioning'!H119</f>
        <v>0</v>
      </c>
      <c r="H114">
        <f>'Shipment Data for Provisioning'!I119</f>
        <v>0</v>
      </c>
      <c r="I114" t="e">
        <f>VLOOKUP(B114,'Location Data'!$C$5:$G$1004,4,FALSE)</f>
        <v>#N/A</v>
      </c>
      <c r="J114" t="e">
        <f>VLOOKUP(B114,'Location Data'!$C$5:$G$1004,5,FALSE)</f>
        <v>#N/A</v>
      </c>
      <c r="K114" t="e">
        <f>VLOOKUP(C114,'Location Data'!$C$5:$G$1004,4,FALSE)</f>
        <v>#N/A</v>
      </c>
      <c r="L114" t="e">
        <f>VLOOKUP(C114,'Location Data'!$C$5:$G$1004,5,FALSE)</f>
        <v>#N/A</v>
      </c>
    </row>
    <row r="115" spans="1:12" x14ac:dyDescent="0.2">
      <c r="A115">
        <f>'Shipment Data for Provisioning'!B120</f>
        <v>0</v>
      </c>
      <c r="B115">
        <f>'Shipment Data for Provisioning'!C120</f>
        <v>0</v>
      </c>
      <c r="C115">
        <f>'Shipment Data for Provisioning'!D120</f>
        <v>0</v>
      </c>
      <c r="D115">
        <f>'Shipment Data for Provisioning'!E120</f>
        <v>0</v>
      </c>
      <c r="E115">
        <f>'Shipment Data for Provisioning'!F120</f>
        <v>0</v>
      </c>
      <c r="F115">
        <f>'Shipment Data for Provisioning'!G120</f>
        <v>0</v>
      </c>
      <c r="G115">
        <f>'Shipment Data for Provisioning'!H120</f>
        <v>0</v>
      </c>
      <c r="H115">
        <f>'Shipment Data for Provisioning'!I120</f>
        <v>0</v>
      </c>
      <c r="I115" t="e">
        <f>VLOOKUP(B115,'Location Data'!$C$5:$G$1004,4,FALSE)</f>
        <v>#N/A</v>
      </c>
      <c r="J115" t="e">
        <f>VLOOKUP(B115,'Location Data'!$C$5:$G$1004,5,FALSE)</f>
        <v>#N/A</v>
      </c>
      <c r="K115" t="e">
        <f>VLOOKUP(C115,'Location Data'!$C$5:$G$1004,4,FALSE)</f>
        <v>#N/A</v>
      </c>
      <c r="L115" t="e">
        <f>VLOOKUP(C115,'Location Data'!$C$5:$G$1004,5,FALSE)</f>
        <v>#N/A</v>
      </c>
    </row>
    <row r="116" spans="1:12" x14ac:dyDescent="0.2">
      <c r="A116">
        <f>'Shipment Data for Provisioning'!B121</f>
        <v>0</v>
      </c>
      <c r="B116">
        <f>'Shipment Data for Provisioning'!C121</f>
        <v>0</v>
      </c>
      <c r="C116">
        <f>'Shipment Data for Provisioning'!D121</f>
        <v>0</v>
      </c>
      <c r="D116">
        <f>'Shipment Data for Provisioning'!E121</f>
        <v>0</v>
      </c>
      <c r="E116">
        <f>'Shipment Data for Provisioning'!F121</f>
        <v>0</v>
      </c>
      <c r="F116">
        <f>'Shipment Data for Provisioning'!G121</f>
        <v>0</v>
      </c>
      <c r="G116">
        <f>'Shipment Data for Provisioning'!H121</f>
        <v>0</v>
      </c>
      <c r="H116">
        <f>'Shipment Data for Provisioning'!I121</f>
        <v>0</v>
      </c>
      <c r="I116" t="e">
        <f>VLOOKUP(B116,'Location Data'!$C$5:$G$1004,4,FALSE)</f>
        <v>#N/A</v>
      </c>
      <c r="J116" t="e">
        <f>VLOOKUP(B116,'Location Data'!$C$5:$G$1004,5,FALSE)</f>
        <v>#N/A</v>
      </c>
      <c r="K116" t="e">
        <f>VLOOKUP(C116,'Location Data'!$C$5:$G$1004,4,FALSE)</f>
        <v>#N/A</v>
      </c>
      <c r="L116" t="e">
        <f>VLOOKUP(C116,'Location Data'!$C$5:$G$1004,5,FALSE)</f>
        <v>#N/A</v>
      </c>
    </row>
    <row r="117" spans="1:12" x14ac:dyDescent="0.2">
      <c r="A117">
        <f>'Shipment Data for Provisioning'!B122</f>
        <v>0</v>
      </c>
      <c r="B117">
        <f>'Shipment Data for Provisioning'!C122</f>
        <v>0</v>
      </c>
      <c r="C117">
        <f>'Shipment Data for Provisioning'!D122</f>
        <v>0</v>
      </c>
      <c r="D117">
        <f>'Shipment Data for Provisioning'!E122</f>
        <v>0</v>
      </c>
      <c r="E117">
        <f>'Shipment Data for Provisioning'!F122</f>
        <v>0</v>
      </c>
      <c r="F117">
        <f>'Shipment Data for Provisioning'!G122</f>
        <v>0</v>
      </c>
      <c r="G117">
        <f>'Shipment Data for Provisioning'!H122</f>
        <v>0</v>
      </c>
      <c r="H117">
        <f>'Shipment Data for Provisioning'!I122</f>
        <v>0</v>
      </c>
      <c r="I117" t="e">
        <f>VLOOKUP(B117,'Location Data'!$C$5:$G$1004,4,FALSE)</f>
        <v>#N/A</v>
      </c>
      <c r="J117" t="e">
        <f>VLOOKUP(B117,'Location Data'!$C$5:$G$1004,5,FALSE)</f>
        <v>#N/A</v>
      </c>
      <c r="K117" t="e">
        <f>VLOOKUP(C117,'Location Data'!$C$5:$G$1004,4,FALSE)</f>
        <v>#N/A</v>
      </c>
      <c r="L117" t="e">
        <f>VLOOKUP(C117,'Location Data'!$C$5:$G$1004,5,FALSE)</f>
        <v>#N/A</v>
      </c>
    </row>
    <row r="118" spans="1:12" x14ac:dyDescent="0.2">
      <c r="A118">
        <f>'Shipment Data for Provisioning'!B123</f>
        <v>0</v>
      </c>
      <c r="B118">
        <f>'Shipment Data for Provisioning'!C123</f>
        <v>0</v>
      </c>
      <c r="C118">
        <f>'Shipment Data for Provisioning'!D123</f>
        <v>0</v>
      </c>
      <c r="D118">
        <f>'Shipment Data for Provisioning'!E123</f>
        <v>0</v>
      </c>
      <c r="E118">
        <f>'Shipment Data for Provisioning'!F123</f>
        <v>0</v>
      </c>
      <c r="F118">
        <f>'Shipment Data for Provisioning'!G123</f>
        <v>0</v>
      </c>
      <c r="G118">
        <f>'Shipment Data for Provisioning'!H123</f>
        <v>0</v>
      </c>
      <c r="H118">
        <f>'Shipment Data for Provisioning'!I123</f>
        <v>0</v>
      </c>
      <c r="I118" t="e">
        <f>VLOOKUP(B118,'Location Data'!$C$5:$G$1004,4,FALSE)</f>
        <v>#N/A</v>
      </c>
      <c r="J118" t="e">
        <f>VLOOKUP(B118,'Location Data'!$C$5:$G$1004,5,FALSE)</f>
        <v>#N/A</v>
      </c>
      <c r="K118" t="e">
        <f>VLOOKUP(C118,'Location Data'!$C$5:$G$1004,4,FALSE)</f>
        <v>#N/A</v>
      </c>
      <c r="L118" t="e">
        <f>VLOOKUP(C118,'Location Data'!$C$5:$G$1004,5,FALSE)</f>
        <v>#N/A</v>
      </c>
    </row>
    <row r="119" spans="1:12" x14ac:dyDescent="0.2">
      <c r="A119">
        <f>'Shipment Data for Provisioning'!B124</f>
        <v>0</v>
      </c>
      <c r="B119">
        <f>'Shipment Data for Provisioning'!C124</f>
        <v>0</v>
      </c>
      <c r="C119">
        <f>'Shipment Data for Provisioning'!D124</f>
        <v>0</v>
      </c>
      <c r="D119">
        <f>'Shipment Data for Provisioning'!E124</f>
        <v>0</v>
      </c>
      <c r="E119">
        <f>'Shipment Data for Provisioning'!F124</f>
        <v>0</v>
      </c>
      <c r="F119">
        <f>'Shipment Data for Provisioning'!G124</f>
        <v>0</v>
      </c>
      <c r="G119">
        <f>'Shipment Data for Provisioning'!H124</f>
        <v>0</v>
      </c>
      <c r="H119">
        <f>'Shipment Data for Provisioning'!I124</f>
        <v>0</v>
      </c>
      <c r="I119" t="e">
        <f>VLOOKUP(B119,'Location Data'!$C$5:$G$1004,4,FALSE)</f>
        <v>#N/A</v>
      </c>
      <c r="J119" t="e">
        <f>VLOOKUP(B119,'Location Data'!$C$5:$G$1004,5,FALSE)</f>
        <v>#N/A</v>
      </c>
      <c r="K119" t="e">
        <f>VLOOKUP(C119,'Location Data'!$C$5:$G$1004,4,FALSE)</f>
        <v>#N/A</v>
      </c>
      <c r="L119" t="e">
        <f>VLOOKUP(C119,'Location Data'!$C$5:$G$1004,5,FALSE)</f>
        <v>#N/A</v>
      </c>
    </row>
    <row r="120" spans="1:12" x14ac:dyDescent="0.2">
      <c r="A120">
        <f>'Shipment Data for Provisioning'!B125</f>
        <v>0</v>
      </c>
      <c r="B120">
        <f>'Shipment Data for Provisioning'!C125</f>
        <v>0</v>
      </c>
      <c r="C120">
        <f>'Shipment Data for Provisioning'!D125</f>
        <v>0</v>
      </c>
      <c r="D120">
        <f>'Shipment Data for Provisioning'!E125</f>
        <v>0</v>
      </c>
      <c r="E120">
        <f>'Shipment Data for Provisioning'!F125</f>
        <v>0</v>
      </c>
      <c r="F120">
        <f>'Shipment Data for Provisioning'!G125</f>
        <v>0</v>
      </c>
      <c r="G120">
        <f>'Shipment Data for Provisioning'!H125</f>
        <v>0</v>
      </c>
      <c r="H120">
        <f>'Shipment Data for Provisioning'!I125</f>
        <v>0</v>
      </c>
      <c r="I120" t="e">
        <f>VLOOKUP(B120,'Location Data'!$C$5:$G$1004,4,FALSE)</f>
        <v>#N/A</v>
      </c>
      <c r="J120" t="e">
        <f>VLOOKUP(B120,'Location Data'!$C$5:$G$1004,5,FALSE)</f>
        <v>#N/A</v>
      </c>
      <c r="K120" t="e">
        <f>VLOOKUP(C120,'Location Data'!$C$5:$G$1004,4,FALSE)</f>
        <v>#N/A</v>
      </c>
      <c r="L120" t="e">
        <f>VLOOKUP(C120,'Location Data'!$C$5:$G$1004,5,FALSE)</f>
        <v>#N/A</v>
      </c>
    </row>
    <row r="121" spans="1:12" x14ac:dyDescent="0.2">
      <c r="A121">
        <f>'Shipment Data for Provisioning'!B126</f>
        <v>0</v>
      </c>
      <c r="B121">
        <f>'Shipment Data for Provisioning'!C126</f>
        <v>0</v>
      </c>
      <c r="C121">
        <f>'Shipment Data for Provisioning'!D126</f>
        <v>0</v>
      </c>
      <c r="D121">
        <f>'Shipment Data for Provisioning'!E126</f>
        <v>0</v>
      </c>
      <c r="E121">
        <f>'Shipment Data for Provisioning'!F126</f>
        <v>0</v>
      </c>
      <c r="F121">
        <f>'Shipment Data for Provisioning'!G126</f>
        <v>0</v>
      </c>
      <c r="G121">
        <f>'Shipment Data for Provisioning'!H126</f>
        <v>0</v>
      </c>
      <c r="H121">
        <f>'Shipment Data for Provisioning'!I126</f>
        <v>0</v>
      </c>
      <c r="I121" t="e">
        <f>VLOOKUP(B121,'Location Data'!$C$5:$G$1004,4,FALSE)</f>
        <v>#N/A</v>
      </c>
      <c r="J121" t="e">
        <f>VLOOKUP(B121,'Location Data'!$C$5:$G$1004,5,FALSE)</f>
        <v>#N/A</v>
      </c>
      <c r="K121" t="e">
        <f>VLOOKUP(C121,'Location Data'!$C$5:$G$1004,4,FALSE)</f>
        <v>#N/A</v>
      </c>
      <c r="L121" t="e">
        <f>VLOOKUP(C121,'Location Data'!$C$5:$G$1004,5,FALSE)</f>
        <v>#N/A</v>
      </c>
    </row>
    <row r="122" spans="1:12" x14ac:dyDescent="0.2">
      <c r="A122">
        <f>'Shipment Data for Provisioning'!B127</f>
        <v>0</v>
      </c>
      <c r="B122">
        <f>'Shipment Data for Provisioning'!C127</f>
        <v>0</v>
      </c>
      <c r="C122">
        <f>'Shipment Data for Provisioning'!D127</f>
        <v>0</v>
      </c>
      <c r="D122">
        <f>'Shipment Data for Provisioning'!E127</f>
        <v>0</v>
      </c>
      <c r="E122">
        <f>'Shipment Data for Provisioning'!F127</f>
        <v>0</v>
      </c>
      <c r="F122">
        <f>'Shipment Data for Provisioning'!G127</f>
        <v>0</v>
      </c>
      <c r="G122">
        <f>'Shipment Data for Provisioning'!H127</f>
        <v>0</v>
      </c>
      <c r="H122">
        <f>'Shipment Data for Provisioning'!I127</f>
        <v>0</v>
      </c>
      <c r="I122" t="e">
        <f>VLOOKUP(B122,'Location Data'!$C$5:$G$1004,4,FALSE)</f>
        <v>#N/A</v>
      </c>
      <c r="J122" t="e">
        <f>VLOOKUP(B122,'Location Data'!$C$5:$G$1004,5,FALSE)</f>
        <v>#N/A</v>
      </c>
      <c r="K122" t="e">
        <f>VLOOKUP(C122,'Location Data'!$C$5:$G$1004,4,FALSE)</f>
        <v>#N/A</v>
      </c>
      <c r="L122" t="e">
        <f>VLOOKUP(C122,'Location Data'!$C$5:$G$1004,5,FALSE)</f>
        <v>#N/A</v>
      </c>
    </row>
    <row r="123" spans="1:12" x14ac:dyDescent="0.2">
      <c r="A123">
        <f>'Shipment Data for Provisioning'!B128</f>
        <v>0</v>
      </c>
      <c r="B123">
        <f>'Shipment Data for Provisioning'!C128</f>
        <v>0</v>
      </c>
      <c r="C123">
        <f>'Shipment Data for Provisioning'!D128</f>
        <v>0</v>
      </c>
      <c r="D123">
        <f>'Shipment Data for Provisioning'!E128</f>
        <v>0</v>
      </c>
      <c r="E123">
        <f>'Shipment Data for Provisioning'!F128</f>
        <v>0</v>
      </c>
      <c r="F123">
        <f>'Shipment Data for Provisioning'!G128</f>
        <v>0</v>
      </c>
      <c r="G123">
        <f>'Shipment Data for Provisioning'!H128</f>
        <v>0</v>
      </c>
      <c r="H123">
        <f>'Shipment Data for Provisioning'!I128</f>
        <v>0</v>
      </c>
      <c r="I123" t="e">
        <f>VLOOKUP(B123,'Location Data'!$C$5:$G$1004,4,FALSE)</f>
        <v>#N/A</v>
      </c>
      <c r="J123" t="e">
        <f>VLOOKUP(B123,'Location Data'!$C$5:$G$1004,5,FALSE)</f>
        <v>#N/A</v>
      </c>
      <c r="K123" t="e">
        <f>VLOOKUP(C123,'Location Data'!$C$5:$G$1004,4,FALSE)</f>
        <v>#N/A</v>
      </c>
      <c r="L123" t="e">
        <f>VLOOKUP(C123,'Location Data'!$C$5:$G$1004,5,FALSE)</f>
        <v>#N/A</v>
      </c>
    </row>
    <row r="124" spans="1:12" x14ac:dyDescent="0.2">
      <c r="A124">
        <f>'Shipment Data for Provisioning'!B129</f>
        <v>0</v>
      </c>
      <c r="B124">
        <f>'Shipment Data for Provisioning'!C129</f>
        <v>0</v>
      </c>
      <c r="C124">
        <f>'Shipment Data for Provisioning'!D129</f>
        <v>0</v>
      </c>
      <c r="D124">
        <f>'Shipment Data for Provisioning'!E129</f>
        <v>0</v>
      </c>
      <c r="E124">
        <f>'Shipment Data for Provisioning'!F129</f>
        <v>0</v>
      </c>
      <c r="F124">
        <f>'Shipment Data for Provisioning'!G129</f>
        <v>0</v>
      </c>
      <c r="G124">
        <f>'Shipment Data for Provisioning'!H129</f>
        <v>0</v>
      </c>
      <c r="H124">
        <f>'Shipment Data for Provisioning'!I129</f>
        <v>0</v>
      </c>
      <c r="I124" t="e">
        <f>VLOOKUP(B124,'Location Data'!$C$5:$G$1004,4,FALSE)</f>
        <v>#N/A</v>
      </c>
      <c r="J124" t="e">
        <f>VLOOKUP(B124,'Location Data'!$C$5:$G$1004,5,FALSE)</f>
        <v>#N/A</v>
      </c>
      <c r="K124" t="e">
        <f>VLOOKUP(C124,'Location Data'!$C$5:$G$1004,4,FALSE)</f>
        <v>#N/A</v>
      </c>
      <c r="L124" t="e">
        <f>VLOOKUP(C124,'Location Data'!$C$5:$G$1004,5,FALSE)</f>
        <v>#N/A</v>
      </c>
    </row>
    <row r="125" spans="1:12" x14ac:dyDescent="0.2">
      <c r="A125">
        <f>'Shipment Data for Provisioning'!B130</f>
        <v>0</v>
      </c>
      <c r="B125">
        <f>'Shipment Data for Provisioning'!C130</f>
        <v>0</v>
      </c>
      <c r="C125">
        <f>'Shipment Data for Provisioning'!D130</f>
        <v>0</v>
      </c>
      <c r="D125">
        <f>'Shipment Data for Provisioning'!E130</f>
        <v>0</v>
      </c>
      <c r="E125">
        <f>'Shipment Data for Provisioning'!F130</f>
        <v>0</v>
      </c>
      <c r="F125">
        <f>'Shipment Data for Provisioning'!G130</f>
        <v>0</v>
      </c>
      <c r="G125">
        <f>'Shipment Data for Provisioning'!H130</f>
        <v>0</v>
      </c>
      <c r="H125">
        <f>'Shipment Data for Provisioning'!I130</f>
        <v>0</v>
      </c>
      <c r="I125" t="e">
        <f>VLOOKUP(B125,'Location Data'!$C$5:$G$1004,4,FALSE)</f>
        <v>#N/A</v>
      </c>
      <c r="J125" t="e">
        <f>VLOOKUP(B125,'Location Data'!$C$5:$G$1004,5,FALSE)</f>
        <v>#N/A</v>
      </c>
      <c r="K125" t="e">
        <f>VLOOKUP(C125,'Location Data'!$C$5:$G$1004,4,FALSE)</f>
        <v>#N/A</v>
      </c>
      <c r="L125" t="e">
        <f>VLOOKUP(C125,'Location Data'!$C$5:$G$1004,5,FALSE)</f>
        <v>#N/A</v>
      </c>
    </row>
    <row r="126" spans="1:12" x14ac:dyDescent="0.2">
      <c r="A126">
        <f>'Shipment Data for Provisioning'!B131</f>
        <v>0</v>
      </c>
      <c r="B126">
        <f>'Shipment Data for Provisioning'!C131</f>
        <v>0</v>
      </c>
      <c r="C126">
        <f>'Shipment Data for Provisioning'!D131</f>
        <v>0</v>
      </c>
      <c r="D126">
        <f>'Shipment Data for Provisioning'!E131</f>
        <v>0</v>
      </c>
      <c r="E126">
        <f>'Shipment Data for Provisioning'!F131</f>
        <v>0</v>
      </c>
      <c r="F126">
        <f>'Shipment Data for Provisioning'!G131</f>
        <v>0</v>
      </c>
      <c r="G126">
        <f>'Shipment Data for Provisioning'!H131</f>
        <v>0</v>
      </c>
      <c r="H126">
        <f>'Shipment Data for Provisioning'!I131</f>
        <v>0</v>
      </c>
      <c r="I126" t="e">
        <f>VLOOKUP(B126,'Location Data'!$C$5:$G$1004,4,FALSE)</f>
        <v>#N/A</v>
      </c>
      <c r="J126" t="e">
        <f>VLOOKUP(B126,'Location Data'!$C$5:$G$1004,5,FALSE)</f>
        <v>#N/A</v>
      </c>
      <c r="K126" t="e">
        <f>VLOOKUP(C126,'Location Data'!$C$5:$G$1004,4,FALSE)</f>
        <v>#N/A</v>
      </c>
      <c r="L126" t="e">
        <f>VLOOKUP(C126,'Location Data'!$C$5:$G$1004,5,FALSE)</f>
        <v>#N/A</v>
      </c>
    </row>
    <row r="127" spans="1:12" x14ac:dyDescent="0.2">
      <c r="A127">
        <f>'Shipment Data for Provisioning'!B132</f>
        <v>0</v>
      </c>
      <c r="B127">
        <f>'Shipment Data for Provisioning'!C132</f>
        <v>0</v>
      </c>
      <c r="C127">
        <f>'Shipment Data for Provisioning'!D132</f>
        <v>0</v>
      </c>
      <c r="D127">
        <f>'Shipment Data for Provisioning'!E132</f>
        <v>0</v>
      </c>
      <c r="E127">
        <f>'Shipment Data for Provisioning'!F132</f>
        <v>0</v>
      </c>
      <c r="F127">
        <f>'Shipment Data for Provisioning'!G132</f>
        <v>0</v>
      </c>
      <c r="G127">
        <f>'Shipment Data for Provisioning'!H132</f>
        <v>0</v>
      </c>
      <c r="H127">
        <f>'Shipment Data for Provisioning'!I132</f>
        <v>0</v>
      </c>
      <c r="I127" t="e">
        <f>VLOOKUP(B127,'Location Data'!$C$5:$G$1004,4,FALSE)</f>
        <v>#N/A</v>
      </c>
      <c r="J127" t="e">
        <f>VLOOKUP(B127,'Location Data'!$C$5:$G$1004,5,FALSE)</f>
        <v>#N/A</v>
      </c>
      <c r="K127" t="e">
        <f>VLOOKUP(C127,'Location Data'!$C$5:$G$1004,4,FALSE)</f>
        <v>#N/A</v>
      </c>
      <c r="L127" t="e">
        <f>VLOOKUP(C127,'Location Data'!$C$5:$G$1004,5,FALSE)</f>
        <v>#N/A</v>
      </c>
    </row>
    <row r="128" spans="1:12" x14ac:dyDescent="0.2">
      <c r="A128">
        <f>'Shipment Data for Provisioning'!B133</f>
        <v>0</v>
      </c>
      <c r="B128">
        <f>'Shipment Data for Provisioning'!C133</f>
        <v>0</v>
      </c>
      <c r="C128">
        <f>'Shipment Data for Provisioning'!D133</f>
        <v>0</v>
      </c>
      <c r="D128">
        <f>'Shipment Data for Provisioning'!E133</f>
        <v>0</v>
      </c>
      <c r="E128">
        <f>'Shipment Data for Provisioning'!F133</f>
        <v>0</v>
      </c>
      <c r="F128">
        <f>'Shipment Data for Provisioning'!G133</f>
        <v>0</v>
      </c>
      <c r="G128">
        <f>'Shipment Data for Provisioning'!H133</f>
        <v>0</v>
      </c>
      <c r="H128">
        <f>'Shipment Data for Provisioning'!I133</f>
        <v>0</v>
      </c>
      <c r="I128" t="e">
        <f>VLOOKUP(B128,'Location Data'!$C$5:$G$1004,4,FALSE)</f>
        <v>#N/A</v>
      </c>
      <c r="J128" t="e">
        <f>VLOOKUP(B128,'Location Data'!$C$5:$G$1004,5,FALSE)</f>
        <v>#N/A</v>
      </c>
      <c r="K128" t="e">
        <f>VLOOKUP(C128,'Location Data'!$C$5:$G$1004,4,FALSE)</f>
        <v>#N/A</v>
      </c>
      <c r="L128" t="e">
        <f>VLOOKUP(C128,'Location Data'!$C$5:$G$1004,5,FALSE)</f>
        <v>#N/A</v>
      </c>
    </row>
    <row r="129" spans="1:12" x14ac:dyDescent="0.2">
      <c r="A129">
        <f>'Shipment Data for Provisioning'!B134</f>
        <v>0</v>
      </c>
      <c r="B129">
        <f>'Shipment Data for Provisioning'!C134</f>
        <v>0</v>
      </c>
      <c r="C129">
        <f>'Shipment Data for Provisioning'!D134</f>
        <v>0</v>
      </c>
      <c r="D129">
        <f>'Shipment Data for Provisioning'!E134</f>
        <v>0</v>
      </c>
      <c r="E129">
        <f>'Shipment Data for Provisioning'!F134</f>
        <v>0</v>
      </c>
      <c r="F129">
        <f>'Shipment Data for Provisioning'!G134</f>
        <v>0</v>
      </c>
      <c r="G129">
        <f>'Shipment Data for Provisioning'!H134</f>
        <v>0</v>
      </c>
      <c r="H129">
        <f>'Shipment Data for Provisioning'!I134</f>
        <v>0</v>
      </c>
      <c r="I129" t="e">
        <f>VLOOKUP(B129,'Location Data'!$C$5:$G$1004,4,FALSE)</f>
        <v>#N/A</v>
      </c>
      <c r="J129" t="e">
        <f>VLOOKUP(B129,'Location Data'!$C$5:$G$1004,5,FALSE)</f>
        <v>#N/A</v>
      </c>
      <c r="K129" t="e">
        <f>VLOOKUP(C129,'Location Data'!$C$5:$G$1004,4,FALSE)</f>
        <v>#N/A</v>
      </c>
      <c r="L129" t="e">
        <f>VLOOKUP(C129,'Location Data'!$C$5:$G$1004,5,FALSE)</f>
        <v>#N/A</v>
      </c>
    </row>
    <row r="130" spans="1:12" x14ac:dyDescent="0.2">
      <c r="A130">
        <f>'Shipment Data for Provisioning'!B135</f>
        <v>0</v>
      </c>
      <c r="B130">
        <f>'Shipment Data for Provisioning'!C135</f>
        <v>0</v>
      </c>
      <c r="C130">
        <f>'Shipment Data for Provisioning'!D135</f>
        <v>0</v>
      </c>
      <c r="D130">
        <f>'Shipment Data for Provisioning'!E135</f>
        <v>0</v>
      </c>
      <c r="E130">
        <f>'Shipment Data for Provisioning'!F135</f>
        <v>0</v>
      </c>
      <c r="F130">
        <f>'Shipment Data for Provisioning'!G135</f>
        <v>0</v>
      </c>
      <c r="G130">
        <f>'Shipment Data for Provisioning'!H135</f>
        <v>0</v>
      </c>
      <c r="H130">
        <f>'Shipment Data for Provisioning'!I135</f>
        <v>0</v>
      </c>
      <c r="I130" t="e">
        <f>VLOOKUP(B130,'Location Data'!$C$5:$G$1004,4,FALSE)</f>
        <v>#N/A</v>
      </c>
      <c r="J130" t="e">
        <f>VLOOKUP(B130,'Location Data'!$C$5:$G$1004,5,FALSE)</f>
        <v>#N/A</v>
      </c>
      <c r="K130" t="e">
        <f>VLOOKUP(C130,'Location Data'!$C$5:$G$1004,4,FALSE)</f>
        <v>#N/A</v>
      </c>
      <c r="L130" t="e">
        <f>VLOOKUP(C130,'Location Data'!$C$5:$G$1004,5,FALSE)</f>
        <v>#N/A</v>
      </c>
    </row>
    <row r="131" spans="1:12" x14ac:dyDescent="0.2">
      <c r="A131">
        <f>'Shipment Data for Provisioning'!B136</f>
        <v>0</v>
      </c>
      <c r="B131">
        <f>'Shipment Data for Provisioning'!C136</f>
        <v>0</v>
      </c>
      <c r="C131">
        <f>'Shipment Data for Provisioning'!D136</f>
        <v>0</v>
      </c>
      <c r="D131">
        <f>'Shipment Data for Provisioning'!E136</f>
        <v>0</v>
      </c>
      <c r="E131">
        <f>'Shipment Data for Provisioning'!F136</f>
        <v>0</v>
      </c>
      <c r="F131">
        <f>'Shipment Data for Provisioning'!G136</f>
        <v>0</v>
      </c>
      <c r="G131">
        <f>'Shipment Data for Provisioning'!H136</f>
        <v>0</v>
      </c>
      <c r="H131">
        <f>'Shipment Data for Provisioning'!I136</f>
        <v>0</v>
      </c>
      <c r="I131" t="e">
        <f>VLOOKUP(B131,'Location Data'!$C$5:$G$1004,4,FALSE)</f>
        <v>#N/A</v>
      </c>
      <c r="J131" t="e">
        <f>VLOOKUP(B131,'Location Data'!$C$5:$G$1004,5,FALSE)</f>
        <v>#N/A</v>
      </c>
      <c r="K131" t="e">
        <f>VLOOKUP(C131,'Location Data'!$C$5:$G$1004,4,FALSE)</f>
        <v>#N/A</v>
      </c>
      <c r="L131" t="e">
        <f>VLOOKUP(C131,'Location Data'!$C$5:$G$1004,5,FALSE)</f>
        <v>#N/A</v>
      </c>
    </row>
    <row r="132" spans="1:12" x14ac:dyDescent="0.2">
      <c r="A132">
        <f>'Shipment Data for Provisioning'!B137</f>
        <v>0</v>
      </c>
      <c r="B132">
        <f>'Shipment Data for Provisioning'!C137</f>
        <v>0</v>
      </c>
      <c r="C132">
        <f>'Shipment Data for Provisioning'!D137</f>
        <v>0</v>
      </c>
      <c r="D132">
        <f>'Shipment Data for Provisioning'!E137</f>
        <v>0</v>
      </c>
      <c r="E132">
        <f>'Shipment Data for Provisioning'!F137</f>
        <v>0</v>
      </c>
      <c r="F132">
        <f>'Shipment Data for Provisioning'!G137</f>
        <v>0</v>
      </c>
      <c r="G132">
        <f>'Shipment Data for Provisioning'!H137</f>
        <v>0</v>
      </c>
      <c r="H132">
        <f>'Shipment Data for Provisioning'!I137</f>
        <v>0</v>
      </c>
      <c r="I132" t="e">
        <f>VLOOKUP(B132,'Location Data'!$C$5:$G$1004,4,FALSE)</f>
        <v>#N/A</v>
      </c>
      <c r="J132" t="e">
        <f>VLOOKUP(B132,'Location Data'!$C$5:$G$1004,5,FALSE)</f>
        <v>#N/A</v>
      </c>
      <c r="K132" t="e">
        <f>VLOOKUP(C132,'Location Data'!$C$5:$G$1004,4,FALSE)</f>
        <v>#N/A</v>
      </c>
      <c r="L132" t="e">
        <f>VLOOKUP(C132,'Location Data'!$C$5:$G$1004,5,FALSE)</f>
        <v>#N/A</v>
      </c>
    </row>
    <row r="133" spans="1:12" x14ac:dyDescent="0.2">
      <c r="A133">
        <f>'Shipment Data for Provisioning'!B138</f>
        <v>0</v>
      </c>
      <c r="B133">
        <f>'Shipment Data for Provisioning'!C138</f>
        <v>0</v>
      </c>
      <c r="C133">
        <f>'Shipment Data for Provisioning'!D138</f>
        <v>0</v>
      </c>
      <c r="D133">
        <f>'Shipment Data for Provisioning'!E138</f>
        <v>0</v>
      </c>
      <c r="E133">
        <f>'Shipment Data for Provisioning'!F138</f>
        <v>0</v>
      </c>
      <c r="F133">
        <f>'Shipment Data for Provisioning'!G138</f>
        <v>0</v>
      </c>
      <c r="G133">
        <f>'Shipment Data for Provisioning'!H138</f>
        <v>0</v>
      </c>
      <c r="H133">
        <f>'Shipment Data for Provisioning'!I138</f>
        <v>0</v>
      </c>
      <c r="I133" t="e">
        <f>VLOOKUP(B133,'Location Data'!$C$5:$G$1004,4,FALSE)</f>
        <v>#N/A</v>
      </c>
      <c r="J133" t="e">
        <f>VLOOKUP(B133,'Location Data'!$C$5:$G$1004,5,FALSE)</f>
        <v>#N/A</v>
      </c>
      <c r="K133" t="e">
        <f>VLOOKUP(C133,'Location Data'!$C$5:$G$1004,4,FALSE)</f>
        <v>#N/A</v>
      </c>
      <c r="L133" t="e">
        <f>VLOOKUP(C133,'Location Data'!$C$5:$G$1004,5,FALSE)</f>
        <v>#N/A</v>
      </c>
    </row>
    <row r="134" spans="1:12" x14ac:dyDescent="0.2">
      <c r="A134">
        <f>'Shipment Data for Provisioning'!B139</f>
        <v>0</v>
      </c>
      <c r="B134">
        <f>'Shipment Data for Provisioning'!C139</f>
        <v>0</v>
      </c>
      <c r="C134">
        <f>'Shipment Data for Provisioning'!D139</f>
        <v>0</v>
      </c>
      <c r="D134">
        <f>'Shipment Data for Provisioning'!E139</f>
        <v>0</v>
      </c>
      <c r="E134">
        <f>'Shipment Data for Provisioning'!F139</f>
        <v>0</v>
      </c>
      <c r="F134">
        <f>'Shipment Data for Provisioning'!G139</f>
        <v>0</v>
      </c>
      <c r="G134">
        <f>'Shipment Data for Provisioning'!H139</f>
        <v>0</v>
      </c>
      <c r="H134">
        <f>'Shipment Data for Provisioning'!I139</f>
        <v>0</v>
      </c>
      <c r="I134" t="e">
        <f>VLOOKUP(B134,'Location Data'!$C$5:$G$1004,4,FALSE)</f>
        <v>#N/A</v>
      </c>
      <c r="J134" t="e">
        <f>VLOOKUP(B134,'Location Data'!$C$5:$G$1004,5,FALSE)</f>
        <v>#N/A</v>
      </c>
      <c r="K134" t="e">
        <f>VLOOKUP(C134,'Location Data'!$C$5:$G$1004,4,FALSE)</f>
        <v>#N/A</v>
      </c>
      <c r="L134" t="e">
        <f>VLOOKUP(C134,'Location Data'!$C$5:$G$1004,5,FALSE)</f>
        <v>#N/A</v>
      </c>
    </row>
    <row r="135" spans="1:12" x14ac:dyDescent="0.2">
      <c r="A135">
        <f>'Shipment Data for Provisioning'!B140</f>
        <v>0</v>
      </c>
      <c r="B135">
        <f>'Shipment Data for Provisioning'!C140</f>
        <v>0</v>
      </c>
      <c r="C135">
        <f>'Shipment Data for Provisioning'!D140</f>
        <v>0</v>
      </c>
      <c r="D135">
        <f>'Shipment Data for Provisioning'!E140</f>
        <v>0</v>
      </c>
      <c r="E135">
        <f>'Shipment Data for Provisioning'!F140</f>
        <v>0</v>
      </c>
      <c r="F135">
        <f>'Shipment Data for Provisioning'!G140</f>
        <v>0</v>
      </c>
      <c r="G135">
        <f>'Shipment Data for Provisioning'!H140</f>
        <v>0</v>
      </c>
      <c r="H135">
        <f>'Shipment Data for Provisioning'!I140</f>
        <v>0</v>
      </c>
      <c r="I135" t="e">
        <f>VLOOKUP(B135,'Location Data'!$C$5:$G$1004,4,FALSE)</f>
        <v>#N/A</v>
      </c>
      <c r="J135" t="e">
        <f>VLOOKUP(B135,'Location Data'!$C$5:$G$1004,5,FALSE)</f>
        <v>#N/A</v>
      </c>
      <c r="K135" t="e">
        <f>VLOOKUP(C135,'Location Data'!$C$5:$G$1004,4,FALSE)</f>
        <v>#N/A</v>
      </c>
      <c r="L135" t="e">
        <f>VLOOKUP(C135,'Location Data'!$C$5:$G$1004,5,FALSE)</f>
        <v>#N/A</v>
      </c>
    </row>
    <row r="136" spans="1:12" x14ac:dyDescent="0.2">
      <c r="A136">
        <f>'Shipment Data for Provisioning'!B141</f>
        <v>0</v>
      </c>
      <c r="B136">
        <f>'Shipment Data for Provisioning'!C141</f>
        <v>0</v>
      </c>
      <c r="C136">
        <f>'Shipment Data for Provisioning'!D141</f>
        <v>0</v>
      </c>
      <c r="D136">
        <f>'Shipment Data for Provisioning'!E141</f>
        <v>0</v>
      </c>
      <c r="E136">
        <f>'Shipment Data for Provisioning'!F141</f>
        <v>0</v>
      </c>
      <c r="F136">
        <f>'Shipment Data for Provisioning'!G141</f>
        <v>0</v>
      </c>
      <c r="G136">
        <f>'Shipment Data for Provisioning'!H141</f>
        <v>0</v>
      </c>
      <c r="H136">
        <f>'Shipment Data for Provisioning'!I141</f>
        <v>0</v>
      </c>
      <c r="I136" t="e">
        <f>VLOOKUP(B136,'Location Data'!$C$5:$G$1004,4,FALSE)</f>
        <v>#N/A</v>
      </c>
      <c r="J136" t="e">
        <f>VLOOKUP(B136,'Location Data'!$C$5:$G$1004,5,FALSE)</f>
        <v>#N/A</v>
      </c>
      <c r="K136" t="e">
        <f>VLOOKUP(C136,'Location Data'!$C$5:$G$1004,4,FALSE)</f>
        <v>#N/A</v>
      </c>
      <c r="L136" t="e">
        <f>VLOOKUP(C136,'Location Data'!$C$5:$G$1004,5,FALSE)</f>
        <v>#N/A</v>
      </c>
    </row>
    <row r="137" spans="1:12" x14ac:dyDescent="0.2">
      <c r="A137">
        <f>'Shipment Data for Provisioning'!B142</f>
        <v>0</v>
      </c>
      <c r="B137">
        <f>'Shipment Data for Provisioning'!C142</f>
        <v>0</v>
      </c>
      <c r="C137">
        <f>'Shipment Data for Provisioning'!D142</f>
        <v>0</v>
      </c>
      <c r="D137">
        <f>'Shipment Data for Provisioning'!E142</f>
        <v>0</v>
      </c>
      <c r="E137">
        <f>'Shipment Data for Provisioning'!F142</f>
        <v>0</v>
      </c>
      <c r="F137">
        <f>'Shipment Data for Provisioning'!G142</f>
        <v>0</v>
      </c>
      <c r="G137">
        <f>'Shipment Data for Provisioning'!H142</f>
        <v>0</v>
      </c>
      <c r="H137">
        <f>'Shipment Data for Provisioning'!I142</f>
        <v>0</v>
      </c>
      <c r="I137" t="e">
        <f>VLOOKUP(B137,'Location Data'!$C$5:$G$1004,4,FALSE)</f>
        <v>#N/A</v>
      </c>
      <c r="J137" t="e">
        <f>VLOOKUP(B137,'Location Data'!$C$5:$G$1004,5,FALSE)</f>
        <v>#N/A</v>
      </c>
      <c r="K137" t="e">
        <f>VLOOKUP(C137,'Location Data'!$C$5:$G$1004,4,FALSE)</f>
        <v>#N/A</v>
      </c>
      <c r="L137" t="e">
        <f>VLOOKUP(C137,'Location Data'!$C$5:$G$1004,5,FALSE)</f>
        <v>#N/A</v>
      </c>
    </row>
    <row r="138" spans="1:12" x14ac:dyDescent="0.2">
      <c r="A138">
        <f>'Shipment Data for Provisioning'!B143</f>
        <v>0</v>
      </c>
      <c r="B138">
        <f>'Shipment Data for Provisioning'!C143</f>
        <v>0</v>
      </c>
      <c r="C138">
        <f>'Shipment Data for Provisioning'!D143</f>
        <v>0</v>
      </c>
      <c r="D138">
        <f>'Shipment Data for Provisioning'!E143</f>
        <v>0</v>
      </c>
      <c r="E138">
        <f>'Shipment Data for Provisioning'!F143</f>
        <v>0</v>
      </c>
      <c r="F138">
        <f>'Shipment Data for Provisioning'!G143</f>
        <v>0</v>
      </c>
      <c r="G138">
        <f>'Shipment Data for Provisioning'!H143</f>
        <v>0</v>
      </c>
      <c r="H138">
        <f>'Shipment Data for Provisioning'!I143</f>
        <v>0</v>
      </c>
      <c r="I138" t="e">
        <f>VLOOKUP(B138,'Location Data'!$C$5:$G$1004,4,FALSE)</f>
        <v>#N/A</v>
      </c>
      <c r="J138" t="e">
        <f>VLOOKUP(B138,'Location Data'!$C$5:$G$1004,5,FALSE)</f>
        <v>#N/A</v>
      </c>
      <c r="K138" t="e">
        <f>VLOOKUP(C138,'Location Data'!$C$5:$G$1004,4,FALSE)</f>
        <v>#N/A</v>
      </c>
      <c r="L138" t="e">
        <f>VLOOKUP(C138,'Location Data'!$C$5:$G$1004,5,FALSE)</f>
        <v>#N/A</v>
      </c>
    </row>
    <row r="139" spans="1:12" x14ac:dyDescent="0.2">
      <c r="A139">
        <f>'Shipment Data for Provisioning'!B144</f>
        <v>0</v>
      </c>
      <c r="B139">
        <f>'Shipment Data for Provisioning'!C144</f>
        <v>0</v>
      </c>
      <c r="C139">
        <f>'Shipment Data for Provisioning'!D144</f>
        <v>0</v>
      </c>
      <c r="D139">
        <f>'Shipment Data for Provisioning'!E144</f>
        <v>0</v>
      </c>
      <c r="E139">
        <f>'Shipment Data for Provisioning'!F144</f>
        <v>0</v>
      </c>
      <c r="F139">
        <f>'Shipment Data for Provisioning'!G144</f>
        <v>0</v>
      </c>
      <c r="G139">
        <f>'Shipment Data for Provisioning'!H144</f>
        <v>0</v>
      </c>
      <c r="H139">
        <f>'Shipment Data for Provisioning'!I144</f>
        <v>0</v>
      </c>
      <c r="I139" t="e">
        <f>VLOOKUP(B139,'Location Data'!$C$5:$G$1004,4,FALSE)</f>
        <v>#N/A</v>
      </c>
      <c r="J139" t="e">
        <f>VLOOKUP(B139,'Location Data'!$C$5:$G$1004,5,FALSE)</f>
        <v>#N/A</v>
      </c>
      <c r="K139" t="e">
        <f>VLOOKUP(C139,'Location Data'!$C$5:$G$1004,4,FALSE)</f>
        <v>#N/A</v>
      </c>
      <c r="L139" t="e">
        <f>VLOOKUP(C139,'Location Data'!$C$5:$G$1004,5,FALSE)</f>
        <v>#N/A</v>
      </c>
    </row>
    <row r="140" spans="1:12" x14ac:dyDescent="0.2">
      <c r="A140">
        <f>'Shipment Data for Provisioning'!B145</f>
        <v>0</v>
      </c>
      <c r="B140">
        <f>'Shipment Data for Provisioning'!C145</f>
        <v>0</v>
      </c>
      <c r="C140">
        <f>'Shipment Data for Provisioning'!D145</f>
        <v>0</v>
      </c>
      <c r="D140">
        <f>'Shipment Data for Provisioning'!E145</f>
        <v>0</v>
      </c>
      <c r="E140">
        <f>'Shipment Data for Provisioning'!F145</f>
        <v>0</v>
      </c>
      <c r="F140">
        <f>'Shipment Data for Provisioning'!G145</f>
        <v>0</v>
      </c>
      <c r="G140">
        <f>'Shipment Data for Provisioning'!H145</f>
        <v>0</v>
      </c>
      <c r="H140">
        <f>'Shipment Data for Provisioning'!I145</f>
        <v>0</v>
      </c>
      <c r="I140" t="e">
        <f>VLOOKUP(B140,'Location Data'!$C$5:$G$1004,4,FALSE)</f>
        <v>#N/A</v>
      </c>
      <c r="J140" t="e">
        <f>VLOOKUP(B140,'Location Data'!$C$5:$G$1004,5,FALSE)</f>
        <v>#N/A</v>
      </c>
      <c r="K140" t="e">
        <f>VLOOKUP(C140,'Location Data'!$C$5:$G$1004,4,FALSE)</f>
        <v>#N/A</v>
      </c>
      <c r="L140" t="e">
        <f>VLOOKUP(C140,'Location Data'!$C$5:$G$1004,5,FALSE)</f>
        <v>#N/A</v>
      </c>
    </row>
    <row r="141" spans="1:12" x14ac:dyDescent="0.2">
      <c r="A141">
        <f>'Shipment Data for Provisioning'!B146</f>
        <v>0</v>
      </c>
      <c r="B141">
        <f>'Shipment Data for Provisioning'!C146</f>
        <v>0</v>
      </c>
      <c r="C141">
        <f>'Shipment Data for Provisioning'!D146</f>
        <v>0</v>
      </c>
      <c r="D141">
        <f>'Shipment Data for Provisioning'!E146</f>
        <v>0</v>
      </c>
      <c r="E141">
        <f>'Shipment Data for Provisioning'!F146</f>
        <v>0</v>
      </c>
      <c r="F141">
        <f>'Shipment Data for Provisioning'!G146</f>
        <v>0</v>
      </c>
      <c r="G141">
        <f>'Shipment Data for Provisioning'!H146</f>
        <v>0</v>
      </c>
      <c r="H141">
        <f>'Shipment Data for Provisioning'!I146</f>
        <v>0</v>
      </c>
      <c r="I141" t="e">
        <f>VLOOKUP(B141,'Location Data'!$C$5:$G$1004,4,FALSE)</f>
        <v>#N/A</v>
      </c>
      <c r="J141" t="e">
        <f>VLOOKUP(B141,'Location Data'!$C$5:$G$1004,5,FALSE)</f>
        <v>#N/A</v>
      </c>
      <c r="K141" t="e">
        <f>VLOOKUP(C141,'Location Data'!$C$5:$G$1004,4,FALSE)</f>
        <v>#N/A</v>
      </c>
      <c r="L141" t="e">
        <f>VLOOKUP(C141,'Location Data'!$C$5:$G$1004,5,FALSE)</f>
        <v>#N/A</v>
      </c>
    </row>
    <row r="142" spans="1:12" x14ac:dyDescent="0.2">
      <c r="A142">
        <f>'Shipment Data for Provisioning'!B147</f>
        <v>0</v>
      </c>
      <c r="B142">
        <f>'Shipment Data for Provisioning'!C147</f>
        <v>0</v>
      </c>
      <c r="C142">
        <f>'Shipment Data for Provisioning'!D147</f>
        <v>0</v>
      </c>
      <c r="D142">
        <f>'Shipment Data for Provisioning'!E147</f>
        <v>0</v>
      </c>
      <c r="E142">
        <f>'Shipment Data for Provisioning'!F147</f>
        <v>0</v>
      </c>
      <c r="F142">
        <f>'Shipment Data for Provisioning'!G147</f>
        <v>0</v>
      </c>
      <c r="G142">
        <f>'Shipment Data for Provisioning'!H147</f>
        <v>0</v>
      </c>
      <c r="H142">
        <f>'Shipment Data for Provisioning'!I147</f>
        <v>0</v>
      </c>
      <c r="I142" t="e">
        <f>VLOOKUP(B142,'Location Data'!$C$5:$G$1004,4,FALSE)</f>
        <v>#N/A</v>
      </c>
      <c r="J142" t="e">
        <f>VLOOKUP(B142,'Location Data'!$C$5:$G$1004,5,FALSE)</f>
        <v>#N/A</v>
      </c>
      <c r="K142" t="e">
        <f>VLOOKUP(C142,'Location Data'!$C$5:$G$1004,4,FALSE)</f>
        <v>#N/A</v>
      </c>
      <c r="L142" t="e">
        <f>VLOOKUP(C142,'Location Data'!$C$5:$G$1004,5,FALSE)</f>
        <v>#N/A</v>
      </c>
    </row>
    <row r="143" spans="1:12" x14ac:dyDescent="0.2">
      <c r="A143">
        <f>'Shipment Data for Provisioning'!B148</f>
        <v>0</v>
      </c>
      <c r="B143">
        <f>'Shipment Data for Provisioning'!C148</f>
        <v>0</v>
      </c>
      <c r="C143">
        <f>'Shipment Data for Provisioning'!D148</f>
        <v>0</v>
      </c>
      <c r="D143">
        <f>'Shipment Data for Provisioning'!E148</f>
        <v>0</v>
      </c>
      <c r="E143">
        <f>'Shipment Data for Provisioning'!F148</f>
        <v>0</v>
      </c>
      <c r="F143">
        <f>'Shipment Data for Provisioning'!G148</f>
        <v>0</v>
      </c>
      <c r="G143">
        <f>'Shipment Data for Provisioning'!H148</f>
        <v>0</v>
      </c>
      <c r="H143">
        <f>'Shipment Data for Provisioning'!I148</f>
        <v>0</v>
      </c>
      <c r="I143" t="e">
        <f>VLOOKUP(B143,'Location Data'!$C$5:$G$1004,4,FALSE)</f>
        <v>#N/A</v>
      </c>
      <c r="J143" t="e">
        <f>VLOOKUP(B143,'Location Data'!$C$5:$G$1004,5,FALSE)</f>
        <v>#N/A</v>
      </c>
      <c r="K143" t="e">
        <f>VLOOKUP(C143,'Location Data'!$C$5:$G$1004,4,FALSE)</f>
        <v>#N/A</v>
      </c>
      <c r="L143" t="e">
        <f>VLOOKUP(C143,'Location Data'!$C$5:$G$1004,5,FALSE)</f>
        <v>#N/A</v>
      </c>
    </row>
    <row r="144" spans="1:12" x14ac:dyDescent="0.2">
      <c r="A144">
        <f>'Shipment Data for Provisioning'!B149</f>
        <v>0</v>
      </c>
      <c r="B144">
        <f>'Shipment Data for Provisioning'!C149</f>
        <v>0</v>
      </c>
      <c r="C144">
        <f>'Shipment Data for Provisioning'!D149</f>
        <v>0</v>
      </c>
      <c r="D144">
        <f>'Shipment Data for Provisioning'!E149</f>
        <v>0</v>
      </c>
      <c r="E144">
        <f>'Shipment Data for Provisioning'!F149</f>
        <v>0</v>
      </c>
      <c r="F144">
        <f>'Shipment Data for Provisioning'!G149</f>
        <v>0</v>
      </c>
      <c r="G144">
        <f>'Shipment Data for Provisioning'!H149</f>
        <v>0</v>
      </c>
      <c r="H144">
        <f>'Shipment Data for Provisioning'!I149</f>
        <v>0</v>
      </c>
      <c r="I144" t="e">
        <f>VLOOKUP(B144,'Location Data'!$C$5:$G$1004,4,FALSE)</f>
        <v>#N/A</v>
      </c>
      <c r="J144" t="e">
        <f>VLOOKUP(B144,'Location Data'!$C$5:$G$1004,5,FALSE)</f>
        <v>#N/A</v>
      </c>
      <c r="K144" t="e">
        <f>VLOOKUP(C144,'Location Data'!$C$5:$G$1004,4,FALSE)</f>
        <v>#N/A</v>
      </c>
      <c r="L144" t="e">
        <f>VLOOKUP(C144,'Location Data'!$C$5:$G$1004,5,FALSE)</f>
        <v>#N/A</v>
      </c>
    </row>
    <row r="145" spans="1:12" x14ac:dyDescent="0.2">
      <c r="A145">
        <f>'Shipment Data for Provisioning'!B150</f>
        <v>0</v>
      </c>
      <c r="B145">
        <f>'Shipment Data for Provisioning'!C150</f>
        <v>0</v>
      </c>
      <c r="C145">
        <f>'Shipment Data for Provisioning'!D150</f>
        <v>0</v>
      </c>
      <c r="D145">
        <f>'Shipment Data for Provisioning'!E150</f>
        <v>0</v>
      </c>
      <c r="E145">
        <f>'Shipment Data for Provisioning'!F150</f>
        <v>0</v>
      </c>
      <c r="F145">
        <f>'Shipment Data for Provisioning'!G150</f>
        <v>0</v>
      </c>
      <c r="G145">
        <f>'Shipment Data for Provisioning'!H150</f>
        <v>0</v>
      </c>
      <c r="H145">
        <f>'Shipment Data for Provisioning'!I150</f>
        <v>0</v>
      </c>
      <c r="I145" t="e">
        <f>VLOOKUP(B145,'Location Data'!$C$5:$G$1004,4,FALSE)</f>
        <v>#N/A</v>
      </c>
      <c r="J145" t="e">
        <f>VLOOKUP(B145,'Location Data'!$C$5:$G$1004,5,FALSE)</f>
        <v>#N/A</v>
      </c>
      <c r="K145" t="e">
        <f>VLOOKUP(C145,'Location Data'!$C$5:$G$1004,4,FALSE)</f>
        <v>#N/A</v>
      </c>
      <c r="L145" t="e">
        <f>VLOOKUP(C145,'Location Data'!$C$5:$G$1004,5,FALSE)</f>
        <v>#N/A</v>
      </c>
    </row>
    <row r="146" spans="1:12" x14ac:dyDescent="0.2">
      <c r="A146">
        <f>'Shipment Data for Provisioning'!B151</f>
        <v>0</v>
      </c>
      <c r="B146">
        <f>'Shipment Data for Provisioning'!C151</f>
        <v>0</v>
      </c>
      <c r="C146">
        <f>'Shipment Data for Provisioning'!D151</f>
        <v>0</v>
      </c>
      <c r="D146">
        <f>'Shipment Data for Provisioning'!E151</f>
        <v>0</v>
      </c>
      <c r="E146">
        <f>'Shipment Data for Provisioning'!F151</f>
        <v>0</v>
      </c>
      <c r="F146">
        <f>'Shipment Data for Provisioning'!G151</f>
        <v>0</v>
      </c>
      <c r="G146">
        <f>'Shipment Data for Provisioning'!H151</f>
        <v>0</v>
      </c>
      <c r="H146">
        <f>'Shipment Data for Provisioning'!I151</f>
        <v>0</v>
      </c>
      <c r="I146" t="e">
        <f>VLOOKUP(B146,'Location Data'!$C$5:$G$1004,4,FALSE)</f>
        <v>#N/A</v>
      </c>
      <c r="J146" t="e">
        <f>VLOOKUP(B146,'Location Data'!$C$5:$G$1004,5,FALSE)</f>
        <v>#N/A</v>
      </c>
      <c r="K146" t="e">
        <f>VLOOKUP(C146,'Location Data'!$C$5:$G$1004,4,FALSE)</f>
        <v>#N/A</v>
      </c>
      <c r="L146" t="e">
        <f>VLOOKUP(C146,'Location Data'!$C$5:$G$1004,5,FALSE)</f>
        <v>#N/A</v>
      </c>
    </row>
    <row r="147" spans="1:12" x14ac:dyDescent="0.2">
      <c r="A147">
        <f>'Shipment Data for Provisioning'!B152</f>
        <v>0</v>
      </c>
      <c r="B147">
        <f>'Shipment Data for Provisioning'!C152</f>
        <v>0</v>
      </c>
      <c r="C147">
        <f>'Shipment Data for Provisioning'!D152</f>
        <v>0</v>
      </c>
      <c r="D147">
        <f>'Shipment Data for Provisioning'!E152</f>
        <v>0</v>
      </c>
      <c r="E147">
        <f>'Shipment Data for Provisioning'!F152</f>
        <v>0</v>
      </c>
      <c r="F147">
        <f>'Shipment Data for Provisioning'!G152</f>
        <v>0</v>
      </c>
      <c r="G147">
        <f>'Shipment Data for Provisioning'!H152</f>
        <v>0</v>
      </c>
      <c r="H147">
        <f>'Shipment Data for Provisioning'!I152</f>
        <v>0</v>
      </c>
      <c r="I147" t="e">
        <f>VLOOKUP(B147,'Location Data'!$C$5:$G$1004,4,FALSE)</f>
        <v>#N/A</v>
      </c>
      <c r="J147" t="e">
        <f>VLOOKUP(B147,'Location Data'!$C$5:$G$1004,5,FALSE)</f>
        <v>#N/A</v>
      </c>
      <c r="K147" t="e">
        <f>VLOOKUP(C147,'Location Data'!$C$5:$G$1004,4,FALSE)</f>
        <v>#N/A</v>
      </c>
      <c r="L147" t="e">
        <f>VLOOKUP(C147,'Location Data'!$C$5:$G$1004,5,FALSE)</f>
        <v>#N/A</v>
      </c>
    </row>
    <row r="148" spans="1:12" x14ac:dyDescent="0.2">
      <c r="A148">
        <f>'Shipment Data for Provisioning'!B153</f>
        <v>0</v>
      </c>
      <c r="B148">
        <f>'Shipment Data for Provisioning'!C153</f>
        <v>0</v>
      </c>
      <c r="C148">
        <f>'Shipment Data for Provisioning'!D153</f>
        <v>0</v>
      </c>
      <c r="D148">
        <f>'Shipment Data for Provisioning'!E153</f>
        <v>0</v>
      </c>
      <c r="E148">
        <f>'Shipment Data for Provisioning'!F153</f>
        <v>0</v>
      </c>
      <c r="F148">
        <f>'Shipment Data for Provisioning'!G153</f>
        <v>0</v>
      </c>
      <c r="G148">
        <f>'Shipment Data for Provisioning'!H153</f>
        <v>0</v>
      </c>
      <c r="H148">
        <f>'Shipment Data for Provisioning'!I153</f>
        <v>0</v>
      </c>
      <c r="I148" t="e">
        <f>VLOOKUP(B148,'Location Data'!$C$5:$G$1004,4,FALSE)</f>
        <v>#N/A</v>
      </c>
      <c r="J148" t="e">
        <f>VLOOKUP(B148,'Location Data'!$C$5:$G$1004,5,FALSE)</f>
        <v>#N/A</v>
      </c>
      <c r="K148" t="e">
        <f>VLOOKUP(C148,'Location Data'!$C$5:$G$1004,4,FALSE)</f>
        <v>#N/A</v>
      </c>
      <c r="L148" t="e">
        <f>VLOOKUP(C148,'Location Data'!$C$5:$G$1004,5,FALSE)</f>
        <v>#N/A</v>
      </c>
    </row>
    <row r="149" spans="1:12" x14ac:dyDescent="0.2">
      <c r="A149">
        <f>'Shipment Data for Provisioning'!B154</f>
        <v>0</v>
      </c>
      <c r="B149">
        <f>'Shipment Data for Provisioning'!C154</f>
        <v>0</v>
      </c>
      <c r="C149">
        <f>'Shipment Data for Provisioning'!D154</f>
        <v>0</v>
      </c>
      <c r="D149">
        <f>'Shipment Data for Provisioning'!E154</f>
        <v>0</v>
      </c>
      <c r="E149">
        <f>'Shipment Data for Provisioning'!F154</f>
        <v>0</v>
      </c>
      <c r="F149">
        <f>'Shipment Data for Provisioning'!G154</f>
        <v>0</v>
      </c>
      <c r="G149">
        <f>'Shipment Data for Provisioning'!H154</f>
        <v>0</v>
      </c>
      <c r="H149">
        <f>'Shipment Data for Provisioning'!I154</f>
        <v>0</v>
      </c>
      <c r="I149" t="e">
        <f>VLOOKUP(B149,'Location Data'!$C$5:$G$1004,4,FALSE)</f>
        <v>#N/A</v>
      </c>
      <c r="J149" t="e">
        <f>VLOOKUP(B149,'Location Data'!$C$5:$G$1004,5,FALSE)</f>
        <v>#N/A</v>
      </c>
      <c r="K149" t="e">
        <f>VLOOKUP(C149,'Location Data'!$C$5:$G$1004,4,FALSE)</f>
        <v>#N/A</v>
      </c>
      <c r="L149" t="e">
        <f>VLOOKUP(C149,'Location Data'!$C$5:$G$1004,5,FALSE)</f>
        <v>#N/A</v>
      </c>
    </row>
    <row r="150" spans="1:12" x14ac:dyDescent="0.2">
      <c r="A150">
        <f>'Shipment Data for Provisioning'!B155</f>
        <v>0</v>
      </c>
      <c r="B150">
        <f>'Shipment Data for Provisioning'!C155</f>
        <v>0</v>
      </c>
      <c r="C150">
        <f>'Shipment Data for Provisioning'!D155</f>
        <v>0</v>
      </c>
      <c r="D150">
        <f>'Shipment Data for Provisioning'!E155</f>
        <v>0</v>
      </c>
      <c r="E150">
        <f>'Shipment Data for Provisioning'!F155</f>
        <v>0</v>
      </c>
      <c r="F150">
        <f>'Shipment Data for Provisioning'!G155</f>
        <v>0</v>
      </c>
      <c r="G150">
        <f>'Shipment Data for Provisioning'!H155</f>
        <v>0</v>
      </c>
      <c r="H150">
        <f>'Shipment Data for Provisioning'!I155</f>
        <v>0</v>
      </c>
      <c r="I150" t="e">
        <f>VLOOKUP(B150,'Location Data'!$C$5:$G$1004,4,FALSE)</f>
        <v>#N/A</v>
      </c>
      <c r="J150" t="e">
        <f>VLOOKUP(B150,'Location Data'!$C$5:$G$1004,5,FALSE)</f>
        <v>#N/A</v>
      </c>
      <c r="K150" t="e">
        <f>VLOOKUP(C150,'Location Data'!$C$5:$G$1004,4,FALSE)</f>
        <v>#N/A</v>
      </c>
      <c r="L150" t="e">
        <f>VLOOKUP(C150,'Location Data'!$C$5:$G$1004,5,FALSE)</f>
        <v>#N/A</v>
      </c>
    </row>
    <row r="151" spans="1:12" x14ac:dyDescent="0.2">
      <c r="A151">
        <f>'Shipment Data for Provisioning'!B156</f>
        <v>0</v>
      </c>
      <c r="B151">
        <f>'Shipment Data for Provisioning'!C156</f>
        <v>0</v>
      </c>
      <c r="C151">
        <f>'Shipment Data for Provisioning'!D156</f>
        <v>0</v>
      </c>
      <c r="D151">
        <f>'Shipment Data for Provisioning'!E156</f>
        <v>0</v>
      </c>
      <c r="E151">
        <f>'Shipment Data for Provisioning'!F156</f>
        <v>0</v>
      </c>
      <c r="F151">
        <f>'Shipment Data for Provisioning'!G156</f>
        <v>0</v>
      </c>
      <c r="G151">
        <f>'Shipment Data for Provisioning'!H156</f>
        <v>0</v>
      </c>
      <c r="H151">
        <f>'Shipment Data for Provisioning'!I156</f>
        <v>0</v>
      </c>
      <c r="I151" t="e">
        <f>VLOOKUP(B151,'Location Data'!$C$5:$G$1004,4,FALSE)</f>
        <v>#N/A</v>
      </c>
      <c r="J151" t="e">
        <f>VLOOKUP(B151,'Location Data'!$C$5:$G$1004,5,FALSE)</f>
        <v>#N/A</v>
      </c>
      <c r="K151" t="e">
        <f>VLOOKUP(C151,'Location Data'!$C$5:$G$1004,4,FALSE)</f>
        <v>#N/A</v>
      </c>
      <c r="L151" t="e">
        <f>VLOOKUP(C151,'Location Data'!$C$5:$G$1004,5,FALSE)</f>
        <v>#N/A</v>
      </c>
    </row>
    <row r="152" spans="1:12" x14ac:dyDescent="0.2">
      <c r="A152">
        <f>'Shipment Data for Provisioning'!B157</f>
        <v>0</v>
      </c>
      <c r="B152">
        <f>'Shipment Data for Provisioning'!C157</f>
        <v>0</v>
      </c>
      <c r="C152">
        <f>'Shipment Data for Provisioning'!D157</f>
        <v>0</v>
      </c>
      <c r="D152">
        <f>'Shipment Data for Provisioning'!E157</f>
        <v>0</v>
      </c>
      <c r="E152">
        <f>'Shipment Data for Provisioning'!F157</f>
        <v>0</v>
      </c>
      <c r="F152">
        <f>'Shipment Data for Provisioning'!G157</f>
        <v>0</v>
      </c>
      <c r="G152">
        <f>'Shipment Data for Provisioning'!H157</f>
        <v>0</v>
      </c>
      <c r="H152">
        <f>'Shipment Data for Provisioning'!I157</f>
        <v>0</v>
      </c>
      <c r="I152" t="e">
        <f>VLOOKUP(B152,'Location Data'!$C$5:$G$1004,4,FALSE)</f>
        <v>#N/A</v>
      </c>
      <c r="J152" t="e">
        <f>VLOOKUP(B152,'Location Data'!$C$5:$G$1004,5,FALSE)</f>
        <v>#N/A</v>
      </c>
      <c r="K152" t="e">
        <f>VLOOKUP(C152,'Location Data'!$C$5:$G$1004,4,FALSE)</f>
        <v>#N/A</v>
      </c>
      <c r="L152" t="e">
        <f>VLOOKUP(C152,'Location Data'!$C$5:$G$1004,5,FALSE)</f>
        <v>#N/A</v>
      </c>
    </row>
    <row r="153" spans="1:12" x14ac:dyDescent="0.2">
      <c r="A153">
        <f>'Shipment Data for Provisioning'!B158</f>
        <v>0</v>
      </c>
      <c r="B153">
        <f>'Shipment Data for Provisioning'!C158</f>
        <v>0</v>
      </c>
      <c r="C153">
        <f>'Shipment Data for Provisioning'!D158</f>
        <v>0</v>
      </c>
      <c r="D153">
        <f>'Shipment Data for Provisioning'!E158</f>
        <v>0</v>
      </c>
      <c r="E153">
        <f>'Shipment Data for Provisioning'!F158</f>
        <v>0</v>
      </c>
      <c r="F153">
        <f>'Shipment Data for Provisioning'!G158</f>
        <v>0</v>
      </c>
      <c r="G153">
        <f>'Shipment Data for Provisioning'!H158</f>
        <v>0</v>
      </c>
      <c r="H153">
        <f>'Shipment Data for Provisioning'!I158</f>
        <v>0</v>
      </c>
      <c r="I153" t="e">
        <f>VLOOKUP(B153,'Location Data'!$C$5:$G$1004,4,FALSE)</f>
        <v>#N/A</v>
      </c>
      <c r="J153" t="e">
        <f>VLOOKUP(B153,'Location Data'!$C$5:$G$1004,5,FALSE)</f>
        <v>#N/A</v>
      </c>
      <c r="K153" t="e">
        <f>VLOOKUP(C153,'Location Data'!$C$5:$G$1004,4,FALSE)</f>
        <v>#N/A</v>
      </c>
      <c r="L153" t="e">
        <f>VLOOKUP(C153,'Location Data'!$C$5:$G$1004,5,FALSE)</f>
        <v>#N/A</v>
      </c>
    </row>
    <row r="154" spans="1:12" x14ac:dyDescent="0.2">
      <c r="A154">
        <f>'Shipment Data for Provisioning'!B159</f>
        <v>0</v>
      </c>
      <c r="B154">
        <f>'Shipment Data for Provisioning'!C159</f>
        <v>0</v>
      </c>
      <c r="C154">
        <f>'Shipment Data for Provisioning'!D159</f>
        <v>0</v>
      </c>
      <c r="D154">
        <f>'Shipment Data for Provisioning'!E159</f>
        <v>0</v>
      </c>
      <c r="E154">
        <f>'Shipment Data for Provisioning'!F159</f>
        <v>0</v>
      </c>
      <c r="F154">
        <f>'Shipment Data for Provisioning'!G159</f>
        <v>0</v>
      </c>
      <c r="G154">
        <f>'Shipment Data for Provisioning'!H159</f>
        <v>0</v>
      </c>
      <c r="H154">
        <f>'Shipment Data for Provisioning'!I159</f>
        <v>0</v>
      </c>
      <c r="I154" t="e">
        <f>VLOOKUP(B154,'Location Data'!$C$5:$G$1004,4,FALSE)</f>
        <v>#N/A</v>
      </c>
      <c r="J154" t="e">
        <f>VLOOKUP(B154,'Location Data'!$C$5:$G$1004,5,FALSE)</f>
        <v>#N/A</v>
      </c>
      <c r="K154" t="e">
        <f>VLOOKUP(C154,'Location Data'!$C$5:$G$1004,4,FALSE)</f>
        <v>#N/A</v>
      </c>
      <c r="L154" t="e">
        <f>VLOOKUP(C154,'Location Data'!$C$5:$G$1004,5,FALSE)</f>
        <v>#N/A</v>
      </c>
    </row>
    <row r="155" spans="1:12" x14ac:dyDescent="0.2">
      <c r="A155">
        <f>'Shipment Data for Provisioning'!B160</f>
        <v>0</v>
      </c>
      <c r="B155">
        <f>'Shipment Data for Provisioning'!C160</f>
        <v>0</v>
      </c>
      <c r="C155">
        <f>'Shipment Data for Provisioning'!D160</f>
        <v>0</v>
      </c>
      <c r="D155">
        <f>'Shipment Data for Provisioning'!E160</f>
        <v>0</v>
      </c>
      <c r="E155">
        <f>'Shipment Data for Provisioning'!F160</f>
        <v>0</v>
      </c>
      <c r="F155">
        <f>'Shipment Data for Provisioning'!G160</f>
        <v>0</v>
      </c>
      <c r="G155">
        <f>'Shipment Data for Provisioning'!H160</f>
        <v>0</v>
      </c>
      <c r="H155">
        <f>'Shipment Data for Provisioning'!I160</f>
        <v>0</v>
      </c>
      <c r="I155" t="e">
        <f>VLOOKUP(B155,'Location Data'!$C$5:$G$1004,4,FALSE)</f>
        <v>#N/A</v>
      </c>
      <c r="J155" t="e">
        <f>VLOOKUP(B155,'Location Data'!$C$5:$G$1004,5,FALSE)</f>
        <v>#N/A</v>
      </c>
      <c r="K155" t="e">
        <f>VLOOKUP(C155,'Location Data'!$C$5:$G$1004,4,FALSE)</f>
        <v>#N/A</v>
      </c>
      <c r="L155" t="e">
        <f>VLOOKUP(C155,'Location Data'!$C$5:$G$1004,5,FALSE)</f>
        <v>#N/A</v>
      </c>
    </row>
    <row r="156" spans="1:12" x14ac:dyDescent="0.2">
      <c r="A156">
        <f>'Shipment Data for Provisioning'!B161</f>
        <v>0</v>
      </c>
      <c r="B156">
        <f>'Shipment Data for Provisioning'!C161</f>
        <v>0</v>
      </c>
      <c r="C156">
        <f>'Shipment Data for Provisioning'!D161</f>
        <v>0</v>
      </c>
      <c r="D156">
        <f>'Shipment Data for Provisioning'!E161</f>
        <v>0</v>
      </c>
      <c r="E156">
        <f>'Shipment Data for Provisioning'!F161</f>
        <v>0</v>
      </c>
      <c r="F156">
        <f>'Shipment Data for Provisioning'!G161</f>
        <v>0</v>
      </c>
      <c r="G156">
        <f>'Shipment Data for Provisioning'!H161</f>
        <v>0</v>
      </c>
      <c r="H156">
        <f>'Shipment Data for Provisioning'!I161</f>
        <v>0</v>
      </c>
      <c r="I156" t="e">
        <f>VLOOKUP(B156,'Location Data'!$C$5:$G$1004,4,FALSE)</f>
        <v>#N/A</v>
      </c>
      <c r="J156" t="e">
        <f>VLOOKUP(B156,'Location Data'!$C$5:$G$1004,5,FALSE)</f>
        <v>#N/A</v>
      </c>
      <c r="K156" t="e">
        <f>VLOOKUP(C156,'Location Data'!$C$5:$G$1004,4,FALSE)</f>
        <v>#N/A</v>
      </c>
      <c r="L156" t="e">
        <f>VLOOKUP(C156,'Location Data'!$C$5:$G$1004,5,FALSE)</f>
        <v>#N/A</v>
      </c>
    </row>
    <row r="157" spans="1:12" x14ac:dyDescent="0.2">
      <c r="A157">
        <f>'Shipment Data for Provisioning'!B162</f>
        <v>0</v>
      </c>
      <c r="B157">
        <f>'Shipment Data for Provisioning'!C162</f>
        <v>0</v>
      </c>
      <c r="C157">
        <f>'Shipment Data for Provisioning'!D162</f>
        <v>0</v>
      </c>
      <c r="D157">
        <f>'Shipment Data for Provisioning'!E162</f>
        <v>0</v>
      </c>
      <c r="E157">
        <f>'Shipment Data for Provisioning'!F162</f>
        <v>0</v>
      </c>
      <c r="F157">
        <f>'Shipment Data for Provisioning'!G162</f>
        <v>0</v>
      </c>
      <c r="G157">
        <f>'Shipment Data for Provisioning'!H162</f>
        <v>0</v>
      </c>
      <c r="H157">
        <f>'Shipment Data for Provisioning'!I162</f>
        <v>0</v>
      </c>
      <c r="I157" t="e">
        <f>VLOOKUP(B157,'Location Data'!$C$5:$G$1004,4,FALSE)</f>
        <v>#N/A</v>
      </c>
      <c r="J157" t="e">
        <f>VLOOKUP(B157,'Location Data'!$C$5:$G$1004,5,FALSE)</f>
        <v>#N/A</v>
      </c>
      <c r="K157" t="e">
        <f>VLOOKUP(C157,'Location Data'!$C$5:$G$1004,4,FALSE)</f>
        <v>#N/A</v>
      </c>
      <c r="L157" t="e">
        <f>VLOOKUP(C157,'Location Data'!$C$5:$G$1004,5,FALSE)</f>
        <v>#N/A</v>
      </c>
    </row>
    <row r="158" spans="1:12" x14ac:dyDescent="0.2">
      <c r="A158">
        <f>'Shipment Data for Provisioning'!B163</f>
        <v>0</v>
      </c>
      <c r="B158">
        <f>'Shipment Data for Provisioning'!C163</f>
        <v>0</v>
      </c>
      <c r="C158">
        <f>'Shipment Data for Provisioning'!D163</f>
        <v>0</v>
      </c>
      <c r="D158">
        <f>'Shipment Data for Provisioning'!E163</f>
        <v>0</v>
      </c>
      <c r="E158">
        <f>'Shipment Data for Provisioning'!F163</f>
        <v>0</v>
      </c>
      <c r="F158">
        <f>'Shipment Data for Provisioning'!G163</f>
        <v>0</v>
      </c>
      <c r="G158">
        <f>'Shipment Data for Provisioning'!H163</f>
        <v>0</v>
      </c>
      <c r="H158">
        <f>'Shipment Data for Provisioning'!I163</f>
        <v>0</v>
      </c>
      <c r="I158" t="e">
        <f>VLOOKUP(B158,'Location Data'!$C$5:$G$1004,4,FALSE)</f>
        <v>#N/A</v>
      </c>
      <c r="J158" t="e">
        <f>VLOOKUP(B158,'Location Data'!$C$5:$G$1004,5,FALSE)</f>
        <v>#N/A</v>
      </c>
      <c r="K158" t="e">
        <f>VLOOKUP(C158,'Location Data'!$C$5:$G$1004,4,FALSE)</f>
        <v>#N/A</v>
      </c>
      <c r="L158" t="e">
        <f>VLOOKUP(C158,'Location Data'!$C$5:$G$1004,5,FALSE)</f>
        <v>#N/A</v>
      </c>
    </row>
    <row r="159" spans="1:12" x14ac:dyDescent="0.2">
      <c r="A159">
        <f>'Shipment Data for Provisioning'!B164</f>
        <v>0</v>
      </c>
      <c r="B159">
        <f>'Shipment Data for Provisioning'!C164</f>
        <v>0</v>
      </c>
      <c r="C159">
        <f>'Shipment Data for Provisioning'!D164</f>
        <v>0</v>
      </c>
      <c r="D159">
        <f>'Shipment Data for Provisioning'!E164</f>
        <v>0</v>
      </c>
      <c r="E159">
        <f>'Shipment Data for Provisioning'!F164</f>
        <v>0</v>
      </c>
      <c r="F159">
        <f>'Shipment Data for Provisioning'!G164</f>
        <v>0</v>
      </c>
      <c r="G159">
        <f>'Shipment Data for Provisioning'!H164</f>
        <v>0</v>
      </c>
      <c r="H159">
        <f>'Shipment Data for Provisioning'!I164</f>
        <v>0</v>
      </c>
      <c r="I159" t="e">
        <f>VLOOKUP(B159,'Location Data'!$C$5:$G$1004,4,FALSE)</f>
        <v>#N/A</v>
      </c>
      <c r="J159" t="e">
        <f>VLOOKUP(B159,'Location Data'!$C$5:$G$1004,5,FALSE)</f>
        <v>#N/A</v>
      </c>
      <c r="K159" t="e">
        <f>VLOOKUP(C159,'Location Data'!$C$5:$G$1004,4,FALSE)</f>
        <v>#N/A</v>
      </c>
      <c r="L159" t="e">
        <f>VLOOKUP(C159,'Location Data'!$C$5:$G$1004,5,FALSE)</f>
        <v>#N/A</v>
      </c>
    </row>
    <row r="160" spans="1:12" x14ac:dyDescent="0.2">
      <c r="A160">
        <f>'Shipment Data for Provisioning'!B165</f>
        <v>0</v>
      </c>
      <c r="B160">
        <f>'Shipment Data for Provisioning'!C165</f>
        <v>0</v>
      </c>
      <c r="C160">
        <f>'Shipment Data for Provisioning'!D165</f>
        <v>0</v>
      </c>
      <c r="D160">
        <f>'Shipment Data for Provisioning'!E165</f>
        <v>0</v>
      </c>
      <c r="E160">
        <f>'Shipment Data for Provisioning'!F165</f>
        <v>0</v>
      </c>
      <c r="F160">
        <f>'Shipment Data for Provisioning'!G165</f>
        <v>0</v>
      </c>
      <c r="G160">
        <f>'Shipment Data for Provisioning'!H165</f>
        <v>0</v>
      </c>
      <c r="H160">
        <f>'Shipment Data for Provisioning'!I165</f>
        <v>0</v>
      </c>
      <c r="I160" t="e">
        <f>VLOOKUP(B160,'Location Data'!$C$5:$G$1004,4,FALSE)</f>
        <v>#N/A</v>
      </c>
      <c r="J160" t="e">
        <f>VLOOKUP(B160,'Location Data'!$C$5:$G$1004,5,FALSE)</f>
        <v>#N/A</v>
      </c>
      <c r="K160" t="e">
        <f>VLOOKUP(C160,'Location Data'!$C$5:$G$1004,4,FALSE)</f>
        <v>#N/A</v>
      </c>
      <c r="L160" t="e">
        <f>VLOOKUP(C160,'Location Data'!$C$5:$G$1004,5,FALSE)</f>
        <v>#N/A</v>
      </c>
    </row>
    <row r="161" spans="1:12" x14ac:dyDescent="0.2">
      <c r="A161">
        <f>'Shipment Data for Provisioning'!B166</f>
        <v>0</v>
      </c>
      <c r="B161">
        <f>'Shipment Data for Provisioning'!C166</f>
        <v>0</v>
      </c>
      <c r="C161">
        <f>'Shipment Data for Provisioning'!D166</f>
        <v>0</v>
      </c>
      <c r="D161">
        <f>'Shipment Data for Provisioning'!E166</f>
        <v>0</v>
      </c>
      <c r="E161">
        <f>'Shipment Data for Provisioning'!F166</f>
        <v>0</v>
      </c>
      <c r="F161">
        <f>'Shipment Data for Provisioning'!G166</f>
        <v>0</v>
      </c>
      <c r="G161">
        <f>'Shipment Data for Provisioning'!H166</f>
        <v>0</v>
      </c>
      <c r="H161">
        <f>'Shipment Data for Provisioning'!I166</f>
        <v>0</v>
      </c>
      <c r="I161" t="e">
        <f>VLOOKUP(B161,'Location Data'!$C$5:$G$1004,4,FALSE)</f>
        <v>#N/A</v>
      </c>
      <c r="J161" t="e">
        <f>VLOOKUP(B161,'Location Data'!$C$5:$G$1004,5,FALSE)</f>
        <v>#N/A</v>
      </c>
      <c r="K161" t="e">
        <f>VLOOKUP(C161,'Location Data'!$C$5:$G$1004,4,FALSE)</f>
        <v>#N/A</v>
      </c>
      <c r="L161" t="e">
        <f>VLOOKUP(C161,'Location Data'!$C$5:$G$1004,5,FALSE)</f>
        <v>#N/A</v>
      </c>
    </row>
    <row r="162" spans="1:12" x14ac:dyDescent="0.2">
      <c r="A162">
        <f>'Shipment Data for Provisioning'!B167</f>
        <v>0</v>
      </c>
      <c r="B162">
        <f>'Shipment Data for Provisioning'!C167</f>
        <v>0</v>
      </c>
      <c r="C162">
        <f>'Shipment Data for Provisioning'!D167</f>
        <v>0</v>
      </c>
      <c r="D162">
        <f>'Shipment Data for Provisioning'!E167</f>
        <v>0</v>
      </c>
      <c r="E162">
        <f>'Shipment Data for Provisioning'!F167</f>
        <v>0</v>
      </c>
      <c r="F162">
        <f>'Shipment Data for Provisioning'!G167</f>
        <v>0</v>
      </c>
      <c r="G162">
        <f>'Shipment Data for Provisioning'!H167</f>
        <v>0</v>
      </c>
      <c r="H162">
        <f>'Shipment Data for Provisioning'!I167</f>
        <v>0</v>
      </c>
      <c r="I162" t="e">
        <f>VLOOKUP(B162,'Location Data'!$C$5:$G$1004,4,FALSE)</f>
        <v>#N/A</v>
      </c>
      <c r="J162" t="e">
        <f>VLOOKUP(B162,'Location Data'!$C$5:$G$1004,5,FALSE)</f>
        <v>#N/A</v>
      </c>
      <c r="K162" t="e">
        <f>VLOOKUP(C162,'Location Data'!$C$5:$G$1004,4,FALSE)</f>
        <v>#N/A</v>
      </c>
      <c r="L162" t="e">
        <f>VLOOKUP(C162,'Location Data'!$C$5:$G$1004,5,FALSE)</f>
        <v>#N/A</v>
      </c>
    </row>
    <row r="163" spans="1:12" x14ac:dyDescent="0.2">
      <c r="A163">
        <f>'Shipment Data for Provisioning'!B168</f>
        <v>0</v>
      </c>
      <c r="B163">
        <f>'Shipment Data for Provisioning'!C168</f>
        <v>0</v>
      </c>
      <c r="C163">
        <f>'Shipment Data for Provisioning'!D168</f>
        <v>0</v>
      </c>
      <c r="D163">
        <f>'Shipment Data for Provisioning'!E168</f>
        <v>0</v>
      </c>
      <c r="E163">
        <f>'Shipment Data for Provisioning'!F168</f>
        <v>0</v>
      </c>
      <c r="F163">
        <f>'Shipment Data for Provisioning'!G168</f>
        <v>0</v>
      </c>
      <c r="G163">
        <f>'Shipment Data for Provisioning'!H168</f>
        <v>0</v>
      </c>
      <c r="H163">
        <f>'Shipment Data for Provisioning'!I168</f>
        <v>0</v>
      </c>
      <c r="I163" t="e">
        <f>VLOOKUP(B163,'Location Data'!$C$5:$G$1004,4,FALSE)</f>
        <v>#N/A</v>
      </c>
      <c r="J163" t="e">
        <f>VLOOKUP(B163,'Location Data'!$C$5:$G$1004,5,FALSE)</f>
        <v>#N/A</v>
      </c>
      <c r="K163" t="e">
        <f>VLOOKUP(C163,'Location Data'!$C$5:$G$1004,4,FALSE)</f>
        <v>#N/A</v>
      </c>
      <c r="L163" t="e">
        <f>VLOOKUP(C163,'Location Data'!$C$5:$G$1004,5,FALSE)</f>
        <v>#N/A</v>
      </c>
    </row>
    <row r="164" spans="1:12" x14ac:dyDescent="0.2">
      <c r="A164">
        <f>'Shipment Data for Provisioning'!B169</f>
        <v>0</v>
      </c>
      <c r="B164">
        <f>'Shipment Data for Provisioning'!C169</f>
        <v>0</v>
      </c>
      <c r="C164">
        <f>'Shipment Data for Provisioning'!D169</f>
        <v>0</v>
      </c>
      <c r="D164">
        <f>'Shipment Data for Provisioning'!E169</f>
        <v>0</v>
      </c>
      <c r="E164">
        <f>'Shipment Data for Provisioning'!F169</f>
        <v>0</v>
      </c>
      <c r="F164">
        <f>'Shipment Data for Provisioning'!G169</f>
        <v>0</v>
      </c>
      <c r="G164">
        <f>'Shipment Data for Provisioning'!H169</f>
        <v>0</v>
      </c>
      <c r="H164">
        <f>'Shipment Data for Provisioning'!I169</f>
        <v>0</v>
      </c>
      <c r="I164" t="e">
        <f>VLOOKUP(B164,'Location Data'!$C$5:$G$1004,4,FALSE)</f>
        <v>#N/A</v>
      </c>
      <c r="J164" t="e">
        <f>VLOOKUP(B164,'Location Data'!$C$5:$G$1004,5,FALSE)</f>
        <v>#N/A</v>
      </c>
      <c r="K164" t="e">
        <f>VLOOKUP(C164,'Location Data'!$C$5:$G$1004,4,FALSE)</f>
        <v>#N/A</v>
      </c>
      <c r="L164" t="e">
        <f>VLOOKUP(C164,'Location Data'!$C$5:$G$1004,5,FALSE)</f>
        <v>#N/A</v>
      </c>
    </row>
    <row r="165" spans="1:12" x14ac:dyDescent="0.2">
      <c r="A165">
        <f>'Shipment Data for Provisioning'!B170</f>
        <v>0</v>
      </c>
      <c r="B165">
        <f>'Shipment Data for Provisioning'!C170</f>
        <v>0</v>
      </c>
      <c r="C165">
        <f>'Shipment Data for Provisioning'!D170</f>
        <v>0</v>
      </c>
      <c r="D165">
        <f>'Shipment Data for Provisioning'!E170</f>
        <v>0</v>
      </c>
      <c r="E165">
        <f>'Shipment Data for Provisioning'!F170</f>
        <v>0</v>
      </c>
      <c r="F165">
        <f>'Shipment Data for Provisioning'!G170</f>
        <v>0</v>
      </c>
      <c r="G165">
        <f>'Shipment Data for Provisioning'!H170</f>
        <v>0</v>
      </c>
      <c r="H165">
        <f>'Shipment Data for Provisioning'!I170</f>
        <v>0</v>
      </c>
      <c r="I165" t="e">
        <f>VLOOKUP(B165,'Location Data'!$C$5:$G$1004,4,FALSE)</f>
        <v>#N/A</v>
      </c>
      <c r="J165" t="e">
        <f>VLOOKUP(B165,'Location Data'!$C$5:$G$1004,5,FALSE)</f>
        <v>#N/A</v>
      </c>
      <c r="K165" t="e">
        <f>VLOOKUP(C165,'Location Data'!$C$5:$G$1004,4,FALSE)</f>
        <v>#N/A</v>
      </c>
      <c r="L165" t="e">
        <f>VLOOKUP(C165,'Location Data'!$C$5:$G$1004,5,FALSE)</f>
        <v>#N/A</v>
      </c>
    </row>
    <row r="166" spans="1:12" x14ac:dyDescent="0.2">
      <c r="A166">
        <f>'Shipment Data for Provisioning'!B171</f>
        <v>0</v>
      </c>
      <c r="B166">
        <f>'Shipment Data for Provisioning'!C171</f>
        <v>0</v>
      </c>
      <c r="C166">
        <f>'Shipment Data for Provisioning'!D171</f>
        <v>0</v>
      </c>
      <c r="D166">
        <f>'Shipment Data for Provisioning'!E171</f>
        <v>0</v>
      </c>
      <c r="E166">
        <f>'Shipment Data for Provisioning'!F171</f>
        <v>0</v>
      </c>
      <c r="F166">
        <f>'Shipment Data for Provisioning'!G171</f>
        <v>0</v>
      </c>
      <c r="G166">
        <f>'Shipment Data for Provisioning'!H171</f>
        <v>0</v>
      </c>
      <c r="H166">
        <f>'Shipment Data for Provisioning'!I171</f>
        <v>0</v>
      </c>
      <c r="I166" t="e">
        <f>VLOOKUP(B166,'Location Data'!$C$5:$G$1004,4,FALSE)</f>
        <v>#N/A</v>
      </c>
      <c r="J166" t="e">
        <f>VLOOKUP(B166,'Location Data'!$C$5:$G$1004,5,FALSE)</f>
        <v>#N/A</v>
      </c>
      <c r="K166" t="e">
        <f>VLOOKUP(C166,'Location Data'!$C$5:$G$1004,4,FALSE)</f>
        <v>#N/A</v>
      </c>
      <c r="L166" t="e">
        <f>VLOOKUP(C166,'Location Data'!$C$5:$G$1004,5,FALSE)</f>
        <v>#N/A</v>
      </c>
    </row>
    <row r="167" spans="1:12" x14ac:dyDescent="0.2">
      <c r="A167">
        <f>'Shipment Data for Provisioning'!B172</f>
        <v>0</v>
      </c>
      <c r="B167">
        <f>'Shipment Data for Provisioning'!C172</f>
        <v>0</v>
      </c>
      <c r="C167">
        <f>'Shipment Data for Provisioning'!D172</f>
        <v>0</v>
      </c>
      <c r="D167">
        <f>'Shipment Data for Provisioning'!E172</f>
        <v>0</v>
      </c>
      <c r="E167">
        <f>'Shipment Data for Provisioning'!F172</f>
        <v>0</v>
      </c>
      <c r="F167">
        <f>'Shipment Data for Provisioning'!G172</f>
        <v>0</v>
      </c>
      <c r="G167">
        <f>'Shipment Data for Provisioning'!H172</f>
        <v>0</v>
      </c>
      <c r="H167">
        <f>'Shipment Data for Provisioning'!I172</f>
        <v>0</v>
      </c>
      <c r="I167" t="e">
        <f>VLOOKUP(B167,'Location Data'!$C$5:$G$1004,4,FALSE)</f>
        <v>#N/A</v>
      </c>
      <c r="J167" t="e">
        <f>VLOOKUP(B167,'Location Data'!$C$5:$G$1004,5,FALSE)</f>
        <v>#N/A</v>
      </c>
      <c r="K167" t="e">
        <f>VLOOKUP(C167,'Location Data'!$C$5:$G$1004,4,FALSE)</f>
        <v>#N/A</v>
      </c>
      <c r="L167" t="e">
        <f>VLOOKUP(C167,'Location Data'!$C$5:$G$1004,5,FALSE)</f>
        <v>#N/A</v>
      </c>
    </row>
    <row r="168" spans="1:12" x14ac:dyDescent="0.2">
      <c r="A168">
        <f>'Shipment Data for Provisioning'!B173</f>
        <v>0</v>
      </c>
      <c r="B168">
        <f>'Shipment Data for Provisioning'!C173</f>
        <v>0</v>
      </c>
      <c r="C168">
        <f>'Shipment Data for Provisioning'!D173</f>
        <v>0</v>
      </c>
      <c r="D168">
        <f>'Shipment Data for Provisioning'!E173</f>
        <v>0</v>
      </c>
      <c r="E168">
        <f>'Shipment Data for Provisioning'!F173</f>
        <v>0</v>
      </c>
      <c r="F168">
        <f>'Shipment Data for Provisioning'!G173</f>
        <v>0</v>
      </c>
      <c r="G168">
        <f>'Shipment Data for Provisioning'!H173</f>
        <v>0</v>
      </c>
      <c r="H168">
        <f>'Shipment Data for Provisioning'!I173</f>
        <v>0</v>
      </c>
      <c r="I168" t="e">
        <f>VLOOKUP(B168,'Location Data'!$C$5:$G$1004,4,FALSE)</f>
        <v>#N/A</v>
      </c>
      <c r="J168" t="e">
        <f>VLOOKUP(B168,'Location Data'!$C$5:$G$1004,5,FALSE)</f>
        <v>#N/A</v>
      </c>
      <c r="K168" t="e">
        <f>VLOOKUP(C168,'Location Data'!$C$5:$G$1004,4,FALSE)</f>
        <v>#N/A</v>
      </c>
      <c r="L168" t="e">
        <f>VLOOKUP(C168,'Location Data'!$C$5:$G$1004,5,FALSE)</f>
        <v>#N/A</v>
      </c>
    </row>
    <row r="169" spans="1:12" x14ac:dyDescent="0.2">
      <c r="A169">
        <f>'Shipment Data for Provisioning'!B174</f>
        <v>0</v>
      </c>
      <c r="B169">
        <f>'Shipment Data for Provisioning'!C174</f>
        <v>0</v>
      </c>
      <c r="C169">
        <f>'Shipment Data for Provisioning'!D174</f>
        <v>0</v>
      </c>
      <c r="D169">
        <f>'Shipment Data for Provisioning'!E174</f>
        <v>0</v>
      </c>
      <c r="E169">
        <f>'Shipment Data for Provisioning'!F174</f>
        <v>0</v>
      </c>
      <c r="F169">
        <f>'Shipment Data for Provisioning'!G174</f>
        <v>0</v>
      </c>
      <c r="G169">
        <f>'Shipment Data for Provisioning'!H174</f>
        <v>0</v>
      </c>
      <c r="H169">
        <f>'Shipment Data for Provisioning'!I174</f>
        <v>0</v>
      </c>
      <c r="I169" t="e">
        <f>VLOOKUP(B169,'Location Data'!$C$5:$G$1004,4,FALSE)</f>
        <v>#N/A</v>
      </c>
      <c r="J169" t="e">
        <f>VLOOKUP(B169,'Location Data'!$C$5:$G$1004,5,FALSE)</f>
        <v>#N/A</v>
      </c>
      <c r="K169" t="e">
        <f>VLOOKUP(C169,'Location Data'!$C$5:$G$1004,4,FALSE)</f>
        <v>#N/A</v>
      </c>
      <c r="L169" t="e">
        <f>VLOOKUP(C169,'Location Data'!$C$5:$G$1004,5,FALSE)</f>
        <v>#N/A</v>
      </c>
    </row>
    <row r="170" spans="1:12" x14ac:dyDescent="0.2">
      <c r="A170">
        <f>'Shipment Data for Provisioning'!B175</f>
        <v>0</v>
      </c>
      <c r="B170">
        <f>'Shipment Data for Provisioning'!C175</f>
        <v>0</v>
      </c>
      <c r="C170">
        <f>'Shipment Data for Provisioning'!D175</f>
        <v>0</v>
      </c>
      <c r="D170">
        <f>'Shipment Data for Provisioning'!E175</f>
        <v>0</v>
      </c>
      <c r="E170">
        <f>'Shipment Data for Provisioning'!F175</f>
        <v>0</v>
      </c>
      <c r="F170">
        <f>'Shipment Data for Provisioning'!G175</f>
        <v>0</v>
      </c>
      <c r="G170">
        <f>'Shipment Data for Provisioning'!H175</f>
        <v>0</v>
      </c>
      <c r="H170">
        <f>'Shipment Data for Provisioning'!I175</f>
        <v>0</v>
      </c>
      <c r="I170" t="e">
        <f>VLOOKUP(B170,'Location Data'!$C$5:$G$1004,4,FALSE)</f>
        <v>#N/A</v>
      </c>
      <c r="J170" t="e">
        <f>VLOOKUP(B170,'Location Data'!$C$5:$G$1004,5,FALSE)</f>
        <v>#N/A</v>
      </c>
      <c r="K170" t="e">
        <f>VLOOKUP(C170,'Location Data'!$C$5:$G$1004,4,FALSE)</f>
        <v>#N/A</v>
      </c>
      <c r="L170" t="e">
        <f>VLOOKUP(C170,'Location Data'!$C$5:$G$1004,5,FALSE)</f>
        <v>#N/A</v>
      </c>
    </row>
    <row r="171" spans="1:12" x14ac:dyDescent="0.2">
      <c r="A171">
        <f>'Shipment Data for Provisioning'!B176</f>
        <v>0</v>
      </c>
      <c r="B171">
        <f>'Shipment Data for Provisioning'!C176</f>
        <v>0</v>
      </c>
      <c r="C171">
        <f>'Shipment Data for Provisioning'!D176</f>
        <v>0</v>
      </c>
      <c r="D171">
        <f>'Shipment Data for Provisioning'!E176</f>
        <v>0</v>
      </c>
      <c r="E171">
        <f>'Shipment Data for Provisioning'!F176</f>
        <v>0</v>
      </c>
      <c r="F171">
        <f>'Shipment Data for Provisioning'!G176</f>
        <v>0</v>
      </c>
      <c r="G171">
        <f>'Shipment Data for Provisioning'!H176</f>
        <v>0</v>
      </c>
      <c r="H171">
        <f>'Shipment Data for Provisioning'!I176</f>
        <v>0</v>
      </c>
      <c r="I171" t="e">
        <f>VLOOKUP(B171,'Location Data'!$C$5:$G$1004,4,FALSE)</f>
        <v>#N/A</v>
      </c>
      <c r="J171" t="e">
        <f>VLOOKUP(B171,'Location Data'!$C$5:$G$1004,5,FALSE)</f>
        <v>#N/A</v>
      </c>
      <c r="K171" t="e">
        <f>VLOOKUP(C171,'Location Data'!$C$5:$G$1004,4,FALSE)</f>
        <v>#N/A</v>
      </c>
      <c r="L171" t="e">
        <f>VLOOKUP(C171,'Location Data'!$C$5:$G$1004,5,FALSE)</f>
        <v>#N/A</v>
      </c>
    </row>
    <row r="172" spans="1:12" x14ac:dyDescent="0.2">
      <c r="A172">
        <f>'Shipment Data for Provisioning'!B177</f>
        <v>0</v>
      </c>
      <c r="B172">
        <f>'Shipment Data for Provisioning'!C177</f>
        <v>0</v>
      </c>
      <c r="C172">
        <f>'Shipment Data for Provisioning'!D177</f>
        <v>0</v>
      </c>
      <c r="D172">
        <f>'Shipment Data for Provisioning'!E177</f>
        <v>0</v>
      </c>
      <c r="E172">
        <f>'Shipment Data for Provisioning'!F177</f>
        <v>0</v>
      </c>
      <c r="F172">
        <f>'Shipment Data for Provisioning'!G177</f>
        <v>0</v>
      </c>
      <c r="G172">
        <f>'Shipment Data for Provisioning'!H177</f>
        <v>0</v>
      </c>
      <c r="H172">
        <f>'Shipment Data for Provisioning'!I177</f>
        <v>0</v>
      </c>
      <c r="I172" t="e">
        <f>VLOOKUP(B172,'Location Data'!$C$5:$G$1004,4,FALSE)</f>
        <v>#N/A</v>
      </c>
      <c r="J172" t="e">
        <f>VLOOKUP(B172,'Location Data'!$C$5:$G$1004,5,FALSE)</f>
        <v>#N/A</v>
      </c>
      <c r="K172" t="e">
        <f>VLOOKUP(C172,'Location Data'!$C$5:$G$1004,4,FALSE)</f>
        <v>#N/A</v>
      </c>
      <c r="L172" t="e">
        <f>VLOOKUP(C172,'Location Data'!$C$5:$G$1004,5,FALSE)</f>
        <v>#N/A</v>
      </c>
    </row>
    <row r="173" spans="1:12" x14ac:dyDescent="0.2">
      <c r="A173">
        <f>'Shipment Data for Provisioning'!B178</f>
        <v>0</v>
      </c>
      <c r="B173">
        <f>'Shipment Data for Provisioning'!C178</f>
        <v>0</v>
      </c>
      <c r="C173">
        <f>'Shipment Data for Provisioning'!D178</f>
        <v>0</v>
      </c>
      <c r="D173">
        <f>'Shipment Data for Provisioning'!E178</f>
        <v>0</v>
      </c>
      <c r="E173">
        <f>'Shipment Data for Provisioning'!F178</f>
        <v>0</v>
      </c>
      <c r="F173">
        <f>'Shipment Data for Provisioning'!G178</f>
        <v>0</v>
      </c>
      <c r="G173">
        <f>'Shipment Data for Provisioning'!H178</f>
        <v>0</v>
      </c>
      <c r="H173">
        <f>'Shipment Data for Provisioning'!I178</f>
        <v>0</v>
      </c>
      <c r="I173" t="e">
        <f>VLOOKUP(B173,'Location Data'!$C$5:$G$1004,4,FALSE)</f>
        <v>#N/A</v>
      </c>
      <c r="J173" t="e">
        <f>VLOOKUP(B173,'Location Data'!$C$5:$G$1004,5,FALSE)</f>
        <v>#N/A</v>
      </c>
      <c r="K173" t="e">
        <f>VLOOKUP(C173,'Location Data'!$C$5:$G$1004,4,FALSE)</f>
        <v>#N/A</v>
      </c>
      <c r="L173" t="e">
        <f>VLOOKUP(C173,'Location Data'!$C$5:$G$1004,5,FALSE)</f>
        <v>#N/A</v>
      </c>
    </row>
    <row r="174" spans="1:12" x14ac:dyDescent="0.2">
      <c r="A174">
        <f>'Shipment Data for Provisioning'!B179</f>
        <v>0</v>
      </c>
      <c r="B174">
        <f>'Shipment Data for Provisioning'!C179</f>
        <v>0</v>
      </c>
      <c r="C174">
        <f>'Shipment Data for Provisioning'!D179</f>
        <v>0</v>
      </c>
      <c r="D174">
        <f>'Shipment Data for Provisioning'!E179</f>
        <v>0</v>
      </c>
      <c r="E174">
        <f>'Shipment Data for Provisioning'!F179</f>
        <v>0</v>
      </c>
      <c r="F174">
        <f>'Shipment Data for Provisioning'!G179</f>
        <v>0</v>
      </c>
      <c r="G174">
        <f>'Shipment Data for Provisioning'!H179</f>
        <v>0</v>
      </c>
      <c r="H174">
        <f>'Shipment Data for Provisioning'!I179</f>
        <v>0</v>
      </c>
      <c r="I174" t="e">
        <f>VLOOKUP(B174,'Location Data'!$C$5:$G$1004,4,FALSE)</f>
        <v>#N/A</v>
      </c>
      <c r="J174" t="e">
        <f>VLOOKUP(B174,'Location Data'!$C$5:$G$1004,5,FALSE)</f>
        <v>#N/A</v>
      </c>
      <c r="K174" t="e">
        <f>VLOOKUP(C174,'Location Data'!$C$5:$G$1004,4,FALSE)</f>
        <v>#N/A</v>
      </c>
      <c r="L174" t="e">
        <f>VLOOKUP(C174,'Location Data'!$C$5:$G$1004,5,FALSE)</f>
        <v>#N/A</v>
      </c>
    </row>
    <row r="175" spans="1:12" x14ac:dyDescent="0.2">
      <c r="A175">
        <f>'Shipment Data for Provisioning'!B180</f>
        <v>0</v>
      </c>
      <c r="B175">
        <f>'Shipment Data for Provisioning'!C180</f>
        <v>0</v>
      </c>
      <c r="C175">
        <f>'Shipment Data for Provisioning'!D180</f>
        <v>0</v>
      </c>
      <c r="D175">
        <f>'Shipment Data for Provisioning'!E180</f>
        <v>0</v>
      </c>
      <c r="E175">
        <f>'Shipment Data for Provisioning'!F180</f>
        <v>0</v>
      </c>
      <c r="F175">
        <f>'Shipment Data for Provisioning'!G180</f>
        <v>0</v>
      </c>
      <c r="G175">
        <f>'Shipment Data for Provisioning'!H180</f>
        <v>0</v>
      </c>
      <c r="H175">
        <f>'Shipment Data for Provisioning'!I180</f>
        <v>0</v>
      </c>
      <c r="I175" t="e">
        <f>VLOOKUP(B175,'Location Data'!$C$5:$G$1004,4,FALSE)</f>
        <v>#N/A</v>
      </c>
      <c r="J175" t="e">
        <f>VLOOKUP(B175,'Location Data'!$C$5:$G$1004,5,FALSE)</f>
        <v>#N/A</v>
      </c>
      <c r="K175" t="e">
        <f>VLOOKUP(C175,'Location Data'!$C$5:$G$1004,4,FALSE)</f>
        <v>#N/A</v>
      </c>
      <c r="L175" t="e">
        <f>VLOOKUP(C175,'Location Data'!$C$5:$G$1004,5,FALSE)</f>
        <v>#N/A</v>
      </c>
    </row>
    <row r="176" spans="1:12" x14ac:dyDescent="0.2">
      <c r="A176">
        <f>'Shipment Data for Provisioning'!B181</f>
        <v>0</v>
      </c>
      <c r="B176">
        <f>'Shipment Data for Provisioning'!C181</f>
        <v>0</v>
      </c>
      <c r="C176">
        <f>'Shipment Data for Provisioning'!D181</f>
        <v>0</v>
      </c>
      <c r="D176">
        <f>'Shipment Data for Provisioning'!E181</f>
        <v>0</v>
      </c>
      <c r="E176">
        <f>'Shipment Data for Provisioning'!F181</f>
        <v>0</v>
      </c>
      <c r="F176">
        <f>'Shipment Data for Provisioning'!G181</f>
        <v>0</v>
      </c>
      <c r="G176">
        <f>'Shipment Data for Provisioning'!H181</f>
        <v>0</v>
      </c>
      <c r="H176">
        <f>'Shipment Data for Provisioning'!I181</f>
        <v>0</v>
      </c>
      <c r="I176" t="e">
        <f>VLOOKUP(B176,'Location Data'!$C$5:$G$1004,4,FALSE)</f>
        <v>#N/A</v>
      </c>
      <c r="J176" t="e">
        <f>VLOOKUP(B176,'Location Data'!$C$5:$G$1004,5,FALSE)</f>
        <v>#N/A</v>
      </c>
      <c r="K176" t="e">
        <f>VLOOKUP(C176,'Location Data'!$C$5:$G$1004,4,FALSE)</f>
        <v>#N/A</v>
      </c>
      <c r="L176" t="e">
        <f>VLOOKUP(C176,'Location Data'!$C$5:$G$1004,5,FALSE)</f>
        <v>#N/A</v>
      </c>
    </row>
    <row r="177" spans="1:12" x14ac:dyDescent="0.2">
      <c r="A177">
        <f>'Shipment Data for Provisioning'!B182</f>
        <v>0</v>
      </c>
      <c r="B177">
        <f>'Shipment Data for Provisioning'!C182</f>
        <v>0</v>
      </c>
      <c r="C177">
        <f>'Shipment Data for Provisioning'!D182</f>
        <v>0</v>
      </c>
      <c r="D177">
        <f>'Shipment Data for Provisioning'!E182</f>
        <v>0</v>
      </c>
      <c r="E177">
        <f>'Shipment Data for Provisioning'!F182</f>
        <v>0</v>
      </c>
      <c r="F177">
        <f>'Shipment Data for Provisioning'!G182</f>
        <v>0</v>
      </c>
      <c r="G177">
        <f>'Shipment Data for Provisioning'!H182</f>
        <v>0</v>
      </c>
      <c r="H177">
        <f>'Shipment Data for Provisioning'!I182</f>
        <v>0</v>
      </c>
      <c r="I177" t="e">
        <f>VLOOKUP(B177,'Location Data'!$C$5:$G$1004,4,FALSE)</f>
        <v>#N/A</v>
      </c>
      <c r="J177" t="e">
        <f>VLOOKUP(B177,'Location Data'!$C$5:$G$1004,5,FALSE)</f>
        <v>#N/A</v>
      </c>
      <c r="K177" t="e">
        <f>VLOOKUP(C177,'Location Data'!$C$5:$G$1004,4,FALSE)</f>
        <v>#N/A</v>
      </c>
      <c r="L177" t="e">
        <f>VLOOKUP(C177,'Location Data'!$C$5:$G$1004,5,FALSE)</f>
        <v>#N/A</v>
      </c>
    </row>
    <row r="178" spans="1:12" x14ac:dyDescent="0.2">
      <c r="A178">
        <f>'Shipment Data for Provisioning'!B183</f>
        <v>0</v>
      </c>
      <c r="B178">
        <f>'Shipment Data for Provisioning'!C183</f>
        <v>0</v>
      </c>
      <c r="C178">
        <f>'Shipment Data for Provisioning'!D183</f>
        <v>0</v>
      </c>
      <c r="D178">
        <f>'Shipment Data for Provisioning'!E183</f>
        <v>0</v>
      </c>
      <c r="E178">
        <f>'Shipment Data for Provisioning'!F183</f>
        <v>0</v>
      </c>
      <c r="F178">
        <f>'Shipment Data for Provisioning'!G183</f>
        <v>0</v>
      </c>
      <c r="G178">
        <f>'Shipment Data for Provisioning'!H183</f>
        <v>0</v>
      </c>
      <c r="H178">
        <f>'Shipment Data for Provisioning'!I183</f>
        <v>0</v>
      </c>
      <c r="I178" t="e">
        <f>VLOOKUP(B178,'Location Data'!$C$5:$G$1004,4,FALSE)</f>
        <v>#N/A</v>
      </c>
      <c r="J178" t="e">
        <f>VLOOKUP(B178,'Location Data'!$C$5:$G$1004,5,FALSE)</f>
        <v>#N/A</v>
      </c>
      <c r="K178" t="e">
        <f>VLOOKUP(C178,'Location Data'!$C$5:$G$1004,4,FALSE)</f>
        <v>#N/A</v>
      </c>
      <c r="L178" t="e">
        <f>VLOOKUP(C178,'Location Data'!$C$5:$G$1004,5,FALSE)</f>
        <v>#N/A</v>
      </c>
    </row>
    <row r="179" spans="1:12" x14ac:dyDescent="0.2">
      <c r="A179">
        <f>'Shipment Data for Provisioning'!B184</f>
        <v>0</v>
      </c>
      <c r="B179">
        <f>'Shipment Data for Provisioning'!C184</f>
        <v>0</v>
      </c>
      <c r="C179">
        <f>'Shipment Data for Provisioning'!D184</f>
        <v>0</v>
      </c>
      <c r="D179">
        <f>'Shipment Data for Provisioning'!E184</f>
        <v>0</v>
      </c>
      <c r="E179">
        <f>'Shipment Data for Provisioning'!F184</f>
        <v>0</v>
      </c>
      <c r="F179">
        <f>'Shipment Data for Provisioning'!G184</f>
        <v>0</v>
      </c>
      <c r="G179">
        <f>'Shipment Data for Provisioning'!H184</f>
        <v>0</v>
      </c>
      <c r="H179">
        <f>'Shipment Data for Provisioning'!I184</f>
        <v>0</v>
      </c>
      <c r="I179" t="e">
        <f>VLOOKUP(B179,'Location Data'!$C$5:$G$1004,4,FALSE)</f>
        <v>#N/A</v>
      </c>
      <c r="J179" t="e">
        <f>VLOOKUP(B179,'Location Data'!$C$5:$G$1004,5,FALSE)</f>
        <v>#N/A</v>
      </c>
      <c r="K179" t="e">
        <f>VLOOKUP(C179,'Location Data'!$C$5:$G$1004,4,FALSE)</f>
        <v>#N/A</v>
      </c>
      <c r="L179" t="e">
        <f>VLOOKUP(C179,'Location Data'!$C$5:$G$1004,5,FALSE)</f>
        <v>#N/A</v>
      </c>
    </row>
    <row r="180" spans="1:12" x14ac:dyDescent="0.2">
      <c r="A180">
        <f>'Shipment Data for Provisioning'!B185</f>
        <v>0</v>
      </c>
      <c r="B180">
        <f>'Shipment Data for Provisioning'!C185</f>
        <v>0</v>
      </c>
      <c r="C180">
        <f>'Shipment Data for Provisioning'!D185</f>
        <v>0</v>
      </c>
      <c r="D180">
        <f>'Shipment Data for Provisioning'!E185</f>
        <v>0</v>
      </c>
      <c r="E180">
        <f>'Shipment Data for Provisioning'!F185</f>
        <v>0</v>
      </c>
      <c r="F180">
        <f>'Shipment Data for Provisioning'!G185</f>
        <v>0</v>
      </c>
      <c r="G180">
        <f>'Shipment Data for Provisioning'!H185</f>
        <v>0</v>
      </c>
      <c r="H180">
        <f>'Shipment Data for Provisioning'!I185</f>
        <v>0</v>
      </c>
      <c r="I180" t="e">
        <f>VLOOKUP(B180,'Location Data'!$C$5:$G$1004,4,FALSE)</f>
        <v>#N/A</v>
      </c>
      <c r="J180" t="e">
        <f>VLOOKUP(B180,'Location Data'!$C$5:$G$1004,5,FALSE)</f>
        <v>#N/A</v>
      </c>
      <c r="K180" t="e">
        <f>VLOOKUP(C180,'Location Data'!$C$5:$G$1004,4,FALSE)</f>
        <v>#N/A</v>
      </c>
      <c r="L180" t="e">
        <f>VLOOKUP(C180,'Location Data'!$C$5:$G$1004,5,FALSE)</f>
        <v>#N/A</v>
      </c>
    </row>
    <row r="181" spans="1:12" x14ac:dyDescent="0.2">
      <c r="A181">
        <f>'Shipment Data for Provisioning'!B186</f>
        <v>0</v>
      </c>
      <c r="B181">
        <f>'Shipment Data for Provisioning'!C186</f>
        <v>0</v>
      </c>
      <c r="C181">
        <f>'Shipment Data for Provisioning'!D186</f>
        <v>0</v>
      </c>
      <c r="D181">
        <f>'Shipment Data for Provisioning'!E186</f>
        <v>0</v>
      </c>
      <c r="E181">
        <f>'Shipment Data for Provisioning'!F186</f>
        <v>0</v>
      </c>
      <c r="F181">
        <f>'Shipment Data for Provisioning'!G186</f>
        <v>0</v>
      </c>
      <c r="G181">
        <f>'Shipment Data for Provisioning'!H186</f>
        <v>0</v>
      </c>
      <c r="H181">
        <f>'Shipment Data for Provisioning'!I186</f>
        <v>0</v>
      </c>
      <c r="I181" t="e">
        <f>VLOOKUP(B181,'Location Data'!$C$5:$G$1004,4,FALSE)</f>
        <v>#N/A</v>
      </c>
      <c r="J181" t="e">
        <f>VLOOKUP(B181,'Location Data'!$C$5:$G$1004,5,FALSE)</f>
        <v>#N/A</v>
      </c>
      <c r="K181" t="e">
        <f>VLOOKUP(C181,'Location Data'!$C$5:$G$1004,4,FALSE)</f>
        <v>#N/A</v>
      </c>
      <c r="L181" t="e">
        <f>VLOOKUP(C181,'Location Data'!$C$5:$G$1004,5,FALSE)</f>
        <v>#N/A</v>
      </c>
    </row>
    <row r="182" spans="1:12" x14ac:dyDescent="0.2">
      <c r="A182">
        <f>'Shipment Data for Provisioning'!B187</f>
        <v>0</v>
      </c>
      <c r="B182">
        <f>'Shipment Data for Provisioning'!C187</f>
        <v>0</v>
      </c>
      <c r="C182">
        <f>'Shipment Data for Provisioning'!D187</f>
        <v>0</v>
      </c>
      <c r="D182">
        <f>'Shipment Data for Provisioning'!E187</f>
        <v>0</v>
      </c>
      <c r="E182">
        <f>'Shipment Data for Provisioning'!F187</f>
        <v>0</v>
      </c>
      <c r="F182">
        <f>'Shipment Data for Provisioning'!G187</f>
        <v>0</v>
      </c>
      <c r="G182">
        <f>'Shipment Data for Provisioning'!H187</f>
        <v>0</v>
      </c>
      <c r="H182">
        <f>'Shipment Data for Provisioning'!I187</f>
        <v>0</v>
      </c>
      <c r="I182" t="e">
        <f>VLOOKUP(B182,'Location Data'!$C$5:$G$1004,4,FALSE)</f>
        <v>#N/A</v>
      </c>
      <c r="J182" t="e">
        <f>VLOOKUP(B182,'Location Data'!$C$5:$G$1004,5,FALSE)</f>
        <v>#N/A</v>
      </c>
      <c r="K182" t="e">
        <f>VLOOKUP(C182,'Location Data'!$C$5:$G$1004,4,FALSE)</f>
        <v>#N/A</v>
      </c>
      <c r="L182" t="e">
        <f>VLOOKUP(C182,'Location Data'!$C$5:$G$1004,5,FALSE)</f>
        <v>#N/A</v>
      </c>
    </row>
    <row r="183" spans="1:12" x14ac:dyDescent="0.2">
      <c r="A183">
        <f>'Shipment Data for Provisioning'!B188</f>
        <v>0</v>
      </c>
      <c r="B183">
        <f>'Shipment Data for Provisioning'!C188</f>
        <v>0</v>
      </c>
      <c r="C183">
        <f>'Shipment Data for Provisioning'!D188</f>
        <v>0</v>
      </c>
      <c r="D183">
        <f>'Shipment Data for Provisioning'!E188</f>
        <v>0</v>
      </c>
      <c r="E183">
        <f>'Shipment Data for Provisioning'!F188</f>
        <v>0</v>
      </c>
      <c r="F183">
        <f>'Shipment Data for Provisioning'!G188</f>
        <v>0</v>
      </c>
      <c r="G183">
        <f>'Shipment Data for Provisioning'!H188</f>
        <v>0</v>
      </c>
      <c r="H183">
        <f>'Shipment Data for Provisioning'!I188</f>
        <v>0</v>
      </c>
      <c r="I183" t="e">
        <f>VLOOKUP(B183,'Location Data'!$C$5:$G$1004,4,FALSE)</f>
        <v>#N/A</v>
      </c>
      <c r="J183" t="e">
        <f>VLOOKUP(B183,'Location Data'!$C$5:$G$1004,5,FALSE)</f>
        <v>#N/A</v>
      </c>
      <c r="K183" t="e">
        <f>VLOOKUP(C183,'Location Data'!$C$5:$G$1004,4,FALSE)</f>
        <v>#N/A</v>
      </c>
      <c r="L183" t="e">
        <f>VLOOKUP(C183,'Location Data'!$C$5:$G$1004,5,FALSE)</f>
        <v>#N/A</v>
      </c>
    </row>
    <row r="184" spans="1:12" x14ac:dyDescent="0.2">
      <c r="A184">
        <f>'Shipment Data for Provisioning'!B189</f>
        <v>0</v>
      </c>
      <c r="B184">
        <f>'Shipment Data for Provisioning'!C189</f>
        <v>0</v>
      </c>
      <c r="C184">
        <f>'Shipment Data for Provisioning'!D189</f>
        <v>0</v>
      </c>
      <c r="D184">
        <f>'Shipment Data for Provisioning'!E189</f>
        <v>0</v>
      </c>
      <c r="E184">
        <f>'Shipment Data for Provisioning'!F189</f>
        <v>0</v>
      </c>
      <c r="F184">
        <f>'Shipment Data for Provisioning'!G189</f>
        <v>0</v>
      </c>
      <c r="G184">
        <f>'Shipment Data for Provisioning'!H189</f>
        <v>0</v>
      </c>
      <c r="H184">
        <f>'Shipment Data for Provisioning'!I189</f>
        <v>0</v>
      </c>
      <c r="I184" t="e">
        <f>VLOOKUP(B184,'Location Data'!$C$5:$G$1004,4,FALSE)</f>
        <v>#N/A</v>
      </c>
      <c r="J184" t="e">
        <f>VLOOKUP(B184,'Location Data'!$C$5:$G$1004,5,FALSE)</f>
        <v>#N/A</v>
      </c>
      <c r="K184" t="e">
        <f>VLOOKUP(C184,'Location Data'!$C$5:$G$1004,4,FALSE)</f>
        <v>#N/A</v>
      </c>
      <c r="L184" t="e">
        <f>VLOOKUP(C184,'Location Data'!$C$5:$G$1004,5,FALSE)</f>
        <v>#N/A</v>
      </c>
    </row>
    <row r="185" spans="1:12" x14ac:dyDescent="0.2">
      <c r="A185">
        <f>'Shipment Data for Provisioning'!B190</f>
        <v>0</v>
      </c>
      <c r="B185">
        <f>'Shipment Data for Provisioning'!C190</f>
        <v>0</v>
      </c>
      <c r="C185">
        <f>'Shipment Data for Provisioning'!D190</f>
        <v>0</v>
      </c>
      <c r="D185">
        <f>'Shipment Data for Provisioning'!E190</f>
        <v>0</v>
      </c>
      <c r="E185">
        <f>'Shipment Data for Provisioning'!F190</f>
        <v>0</v>
      </c>
      <c r="F185">
        <f>'Shipment Data for Provisioning'!G190</f>
        <v>0</v>
      </c>
      <c r="G185">
        <f>'Shipment Data for Provisioning'!H190</f>
        <v>0</v>
      </c>
      <c r="H185">
        <f>'Shipment Data for Provisioning'!I190</f>
        <v>0</v>
      </c>
      <c r="I185" t="e">
        <f>VLOOKUP(B185,'Location Data'!$C$5:$G$1004,4,FALSE)</f>
        <v>#N/A</v>
      </c>
      <c r="J185" t="e">
        <f>VLOOKUP(B185,'Location Data'!$C$5:$G$1004,5,FALSE)</f>
        <v>#N/A</v>
      </c>
      <c r="K185" t="e">
        <f>VLOOKUP(C185,'Location Data'!$C$5:$G$1004,4,FALSE)</f>
        <v>#N/A</v>
      </c>
      <c r="L185" t="e">
        <f>VLOOKUP(C185,'Location Data'!$C$5:$G$1004,5,FALSE)</f>
        <v>#N/A</v>
      </c>
    </row>
    <row r="186" spans="1:12" x14ac:dyDescent="0.2">
      <c r="A186">
        <f>'Shipment Data for Provisioning'!B191</f>
        <v>0</v>
      </c>
      <c r="B186">
        <f>'Shipment Data for Provisioning'!C191</f>
        <v>0</v>
      </c>
      <c r="C186">
        <f>'Shipment Data for Provisioning'!D191</f>
        <v>0</v>
      </c>
      <c r="D186">
        <f>'Shipment Data for Provisioning'!E191</f>
        <v>0</v>
      </c>
      <c r="E186">
        <f>'Shipment Data for Provisioning'!F191</f>
        <v>0</v>
      </c>
      <c r="F186">
        <f>'Shipment Data for Provisioning'!G191</f>
        <v>0</v>
      </c>
      <c r="G186">
        <f>'Shipment Data for Provisioning'!H191</f>
        <v>0</v>
      </c>
      <c r="H186">
        <f>'Shipment Data for Provisioning'!I191</f>
        <v>0</v>
      </c>
      <c r="I186" t="e">
        <f>VLOOKUP(B186,'Location Data'!$C$5:$G$1004,4,FALSE)</f>
        <v>#N/A</v>
      </c>
      <c r="J186" t="e">
        <f>VLOOKUP(B186,'Location Data'!$C$5:$G$1004,5,FALSE)</f>
        <v>#N/A</v>
      </c>
      <c r="K186" t="e">
        <f>VLOOKUP(C186,'Location Data'!$C$5:$G$1004,4,FALSE)</f>
        <v>#N/A</v>
      </c>
      <c r="L186" t="e">
        <f>VLOOKUP(C186,'Location Data'!$C$5:$G$1004,5,FALSE)</f>
        <v>#N/A</v>
      </c>
    </row>
    <row r="187" spans="1:12" x14ac:dyDescent="0.2">
      <c r="A187">
        <f>'Shipment Data for Provisioning'!B192</f>
        <v>0</v>
      </c>
      <c r="B187">
        <f>'Shipment Data for Provisioning'!C192</f>
        <v>0</v>
      </c>
      <c r="C187">
        <f>'Shipment Data for Provisioning'!D192</f>
        <v>0</v>
      </c>
      <c r="D187">
        <f>'Shipment Data for Provisioning'!E192</f>
        <v>0</v>
      </c>
      <c r="E187">
        <f>'Shipment Data for Provisioning'!F192</f>
        <v>0</v>
      </c>
      <c r="F187">
        <f>'Shipment Data for Provisioning'!G192</f>
        <v>0</v>
      </c>
      <c r="G187">
        <f>'Shipment Data for Provisioning'!H192</f>
        <v>0</v>
      </c>
      <c r="H187">
        <f>'Shipment Data for Provisioning'!I192</f>
        <v>0</v>
      </c>
      <c r="I187" t="e">
        <f>VLOOKUP(B187,'Location Data'!$C$5:$G$1004,4,FALSE)</f>
        <v>#N/A</v>
      </c>
      <c r="J187" t="e">
        <f>VLOOKUP(B187,'Location Data'!$C$5:$G$1004,5,FALSE)</f>
        <v>#N/A</v>
      </c>
      <c r="K187" t="e">
        <f>VLOOKUP(C187,'Location Data'!$C$5:$G$1004,4,FALSE)</f>
        <v>#N/A</v>
      </c>
      <c r="L187" t="e">
        <f>VLOOKUP(C187,'Location Data'!$C$5:$G$1004,5,FALSE)</f>
        <v>#N/A</v>
      </c>
    </row>
    <row r="188" spans="1:12" x14ac:dyDescent="0.2">
      <c r="A188">
        <f>'Shipment Data for Provisioning'!B193</f>
        <v>0</v>
      </c>
      <c r="B188">
        <f>'Shipment Data for Provisioning'!C193</f>
        <v>0</v>
      </c>
      <c r="C188">
        <f>'Shipment Data for Provisioning'!D193</f>
        <v>0</v>
      </c>
      <c r="D188">
        <f>'Shipment Data for Provisioning'!E193</f>
        <v>0</v>
      </c>
      <c r="E188">
        <f>'Shipment Data for Provisioning'!F193</f>
        <v>0</v>
      </c>
      <c r="F188">
        <f>'Shipment Data for Provisioning'!G193</f>
        <v>0</v>
      </c>
      <c r="G188">
        <f>'Shipment Data for Provisioning'!H193</f>
        <v>0</v>
      </c>
      <c r="H188">
        <f>'Shipment Data for Provisioning'!I193</f>
        <v>0</v>
      </c>
      <c r="I188" t="e">
        <f>VLOOKUP(B188,'Location Data'!$C$5:$G$1004,4,FALSE)</f>
        <v>#N/A</v>
      </c>
      <c r="J188" t="e">
        <f>VLOOKUP(B188,'Location Data'!$C$5:$G$1004,5,FALSE)</f>
        <v>#N/A</v>
      </c>
      <c r="K188" t="e">
        <f>VLOOKUP(C188,'Location Data'!$C$5:$G$1004,4,FALSE)</f>
        <v>#N/A</v>
      </c>
      <c r="L188" t="e">
        <f>VLOOKUP(C188,'Location Data'!$C$5:$G$1004,5,FALSE)</f>
        <v>#N/A</v>
      </c>
    </row>
    <row r="189" spans="1:12" x14ac:dyDescent="0.2">
      <c r="A189">
        <f>'Shipment Data for Provisioning'!B194</f>
        <v>0</v>
      </c>
      <c r="B189">
        <f>'Shipment Data for Provisioning'!C194</f>
        <v>0</v>
      </c>
      <c r="C189">
        <f>'Shipment Data for Provisioning'!D194</f>
        <v>0</v>
      </c>
      <c r="D189">
        <f>'Shipment Data for Provisioning'!E194</f>
        <v>0</v>
      </c>
      <c r="E189">
        <f>'Shipment Data for Provisioning'!F194</f>
        <v>0</v>
      </c>
      <c r="F189">
        <f>'Shipment Data for Provisioning'!G194</f>
        <v>0</v>
      </c>
      <c r="G189">
        <f>'Shipment Data for Provisioning'!H194</f>
        <v>0</v>
      </c>
      <c r="H189">
        <f>'Shipment Data for Provisioning'!I194</f>
        <v>0</v>
      </c>
      <c r="I189" t="e">
        <f>VLOOKUP(B189,'Location Data'!$C$5:$G$1004,4,FALSE)</f>
        <v>#N/A</v>
      </c>
      <c r="J189" t="e">
        <f>VLOOKUP(B189,'Location Data'!$C$5:$G$1004,5,FALSE)</f>
        <v>#N/A</v>
      </c>
      <c r="K189" t="e">
        <f>VLOOKUP(C189,'Location Data'!$C$5:$G$1004,4,FALSE)</f>
        <v>#N/A</v>
      </c>
      <c r="L189" t="e">
        <f>VLOOKUP(C189,'Location Data'!$C$5:$G$1004,5,FALSE)</f>
        <v>#N/A</v>
      </c>
    </row>
    <row r="190" spans="1:12" x14ac:dyDescent="0.2">
      <c r="A190">
        <f>'Shipment Data for Provisioning'!B195</f>
        <v>0</v>
      </c>
      <c r="B190">
        <f>'Shipment Data for Provisioning'!C195</f>
        <v>0</v>
      </c>
      <c r="C190">
        <f>'Shipment Data for Provisioning'!D195</f>
        <v>0</v>
      </c>
      <c r="D190">
        <f>'Shipment Data for Provisioning'!E195</f>
        <v>0</v>
      </c>
      <c r="E190">
        <f>'Shipment Data for Provisioning'!F195</f>
        <v>0</v>
      </c>
      <c r="F190">
        <f>'Shipment Data for Provisioning'!G195</f>
        <v>0</v>
      </c>
      <c r="G190">
        <f>'Shipment Data for Provisioning'!H195</f>
        <v>0</v>
      </c>
      <c r="H190">
        <f>'Shipment Data for Provisioning'!I195</f>
        <v>0</v>
      </c>
      <c r="I190" t="e">
        <f>VLOOKUP(B190,'Location Data'!$C$5:$G$1004,4,FALSE)</f>
        <v>#N/A</v>
      </c>
      <c r="J190" t="e">
        <f>VLOOKUP(B190,'Location Data'!$C$5:$G$1004,5,FALSE)</f>
        <v>#N/A</v>
      </c>
      <c r="K190" t="e">
        <f>VLOOKUP(C190,'Location Data'!$C$5:$G$1004,4,FALSE)</f>
        <v>#N/A</v>
      </c>
      <c r="L190" t="e">
        <f>VLOOKUP(C190,'Location Data'!$C$5:$G$1004,5,FALSE)</f>
        <v>#N/A</v>
      </c>
    </row>
    <row r="191" spans="1:12" x14ac:dyDescent="0.2">
      <c r="A191">
        <f>'Shipment Data for Provisioning'!B196</f>
        <v>0</v>
      </c>
      <c r="B191">
        <f>'Shipment Data for Provisioning'!C196</f>
        <v>0</v>
      </c>
      <c r="C191">
        <f>'Shipment Data for Provisioning'!D196</f>
        <v>0</v>
      </c>
      <c r="D191">
        <f>'Shipment Data for Provisioning'!E196</f>
        <v>0</v>
      </c>
      <c r="E191">
        <f>'Shipment Data for Provisioning'!F196</f>
        <v>0</v>
      </c>
      <c r="F191">
        <f>'Shipment Data for Provisioning'!G196</f>
        <v>0</v>
      </c>
      <c r="G191">
        <f>'Shipment Data for Provisioning'!H196</f>
        <v>0</v>
      </c>
      <c r="H191">
        <f>'Shipment Data for Provisioning'!I196</f>
        <v>0</v>
      </c>
      <c r="I191" t="e">
        <f>VLOOKUP(B191,'Location Data'!$C$5:$G$1004,4,FALSE)</f>
        <v>#N/A</v>
      </c>
      <c r="J191" t="e">
        <f>VLOOKUP(B191,'Location Data'!$C$5:$G$1004,5,FALSE)</f>
        <v>#N/A</v>
      </c>
      <c r="K191" t="e">
        <f>VLOOKUP(C191,'Location Data'!$C$5:$G$1004,4,FALSE)</f>
        <v>#N/A</v>
      </c>
      <c r="L191" t="e">
        <f>VLOOKUP(C191,'Location Data'!$C$5:$G$1004,5,FALSE)</f>
        <v>#N/A</v>
      </c>
    </row>
    <row r="192" spans="1:12" x14ac:dyDescent="0.2">
      <c r="A192">
        <f>'Shipment Data for Provisioning'!B197</f>
        <v>0</v>
      </c>
      <c r="B192">
        <f>'Shipment Data for Provisioning'!C197</f>
        <v>0</v>
      </c>
      <c r="C192">
        <f>'Shipment Data for Provisioning'!D197</f>
        <v>0</v>
      </c>
      <c r="D192">
        <f>'Shipment Data for Provisioning'!E197</f>
        <v>0</v>
      </c>
      <c r="E192">
        <f>'Shipment Data for Provisioning'!F197</f>
        <v>0</v>
      </c>
      <c r="F192">
        <f>'Shipment Data for Provisioning'!G197</f>
        <v>0</v>
      </c>
      <c r="G192">
        <f>'Shipment Data for Provisioning'!H197</f>
        <v>0</v>
      </c>
      <c r="H192">
        <f>'Shipment Data for Provisioning'!I197</f>
        <v>0</v>
      </c>
      <c r="I192" t="e">
        <f>VLOOKUP(B192,'Location Data'!$C$5:$G$1004,4,FALSE)</f>
        <v>#N/A</v>
      </c>
      <c r="J192" t="e">
        <f>VLOOKUP(B192,'Location Data'!$C$5:$G$1004,5,FALSE)</f>
        <v>#N/A</v>
      </c>
      <c r="K192" t="e">
        <f>VLOOKUP(C192,'Location Data'!$C$5:$G$1004,4,FALSE)</f>
        <v>#N/A</v>
      </c>
      <c r="L192" t="e">
        <f>VLOOKUP(C192,'Location Data'!$C$5:$G$1004,5,FALSE)</f>
        <v>#N/A</v>
      </c>
    </row>
    <row r="193" spans="1:12" x14ac:dyDescent="0.2">
      <c r="A193">
        <f>'Shipment Data for Provisioning'!B198</f>
        <v>0</v>
      </c>
      <c r="B193">
        <f>'Shipment Data for Provisioning'!C198</f>
        <v>0</v>
      </c>
      <c r="C193">
        <f>'Shipment Data for Provisioning'!D198</f>
        <v>0</v>
      </c>
      <c r="D193">
        <f>'Shipment Data for Provisioning'!E198</f>
        <v>0</v>
      </c>
      <c r="E193">
        <f>'Shipment Data for Provisioning'!F198</f>
        <v>0</v>
      </c>
      <c r="F193">
        <f>'Shipment Data for Provisioning'!G198</f>
        <v>0</v>
      </c>
      <c r="G193">
        <f>'Shipment Data for Provisioning'!H198</f>
        <v>0</v>
      </c>
      <c r="H193">
        <f>'Shipment Data for Provisioning'!I198</f>
        <v>0</v>
      </c>
      <c r="I193" t="e">
        <f>VLOOKUP(B193,'Location Data'!$C$5:$G$1004,4,FALSE)</f>
        <v>#N/A</v>
      </c>
      <c r="J193" t="e">
        <f>VLOOKUP(B193,'Location Data'!$C$5:$G$1004,5,FALSE)</f>
        <v>#N/A</v>
      </c>
      <c r="K193" t="e">
        <f>VLOOKUP(C193,'Location Data'!$C$5:$G$1004,4,FALSE)</f>
        <v>#N/A</v>
      </c>
      <c r="L193" t="e">
        <f>VLOOKUP(C193,'Location Data'!$C$5:$G$1004,5,FALSE)</f>
        <v>#N/A</v>
      </c>
    </row>
    <row r="194" spans="1:12" x14ac:dyDescent="0.2">
      <c r="A194">
        <f>'Shipment Data for Provisioning'!B199</f>
        <v>0</v>
      </c>
      <c r="B194">
        <f>'Shipment Data for Provisioning'!C199</f>
        <v>0</v>
      </c>
      <c r="C194">
        <f>'Shipment Data for Provisioning'!D199</f>
        <v>0</v>
      </c>
      <c r="D194">
        <f>'Shipment Data for Provisioning'!E199</f>
        <v>0</v>
      </c>
      <c r="E194">
        <f>'Shipment Data for Provisioning'!F199</f>
        <v>0</v>
      </c>
      <c r="F194">
        <f>'Shipment Data for Provisioning'!G199</f>
        <v>0</v>
      </c>
      <c r="G194">
        <f>'Shipment Data for Provisioning'!H199</f>
        <v>0</v>
      </c>
      <c r="H194">
        <f>'Shipment Data for Provisioning'!I199</f>
        <v>0</v>
      </c>
      <c r="I194" t="e">
        <f>VLOOKUP(B194,'Location Data'!$C$5:$G$1004,4,FALSE)</f>
        <v>#N/A</v>
      </c>
      <c r="J194" t="e">
        <f>VLOOKUP(B194,'Location Data'!$C$5:$G$1004,5,FALSE)</f>
        <v>#N/A</v>
      </c>
      <c r="K194" t="e">
        <f>VLOOKUP(C194,'Location Data'!$C$5:$G$1004,4,FALSE)</f>
        <v>#N/A</v>
      </c>
      <c r="L194" t="e">
        <f>VLOOKUP(C194,'Location Data'!$C$5:$G$1004,5,FALSE)</f>
        <v>#N/A</v>
      </c>
    </row>
    <row r="195" spans="1:12" x14ac:dyDescent="0.2">
      <c r="A195">
        <f>'Shipment Data for Provisioning'!B200</f>
        <v>0</v>
      </c>
      <c r="B195">
        <f>'Shipment Data for Provisioning'!C200</f>
        <v>0</v>
      </c>
      <c r="C195">
        <f>'Shipment Data for Provisioning'!D200</f>
        <v>0</v>
      </c>
      <c r="D195">
        <f>'Shipment Data for Provisioning'!E200</f>
        <v>0</v>
      </c>
      <c r="E195">
        <f>'Shipment Data for Provisioning'!F200</f>
        <v>0</v>
      </c>
      <c r="F195">
        <f>'Shipment Data for Provisioning'!G200</f>
        <v>0</v>
      </c>
      <c r="G195">
        <f>'Shipment Data for Provisioning'!H200</f>
        <v>0</v>
      </c>
      <c r="H195">
        <f>'Shipment Data for Provisioning'!I200</f>
        <v>0</v>
      </c>
      <c r="I195" t="e">
        <f>VLOOKUP(B195,'Location Data'!$C$5:$G$1004,4,FALSE)</f>
        <v>#N/A</v>
      </c>
      <c r="J195" t="e">
        <f>VLOOKUP(B195,'Location Data'!$C$5:$G$1004,5,FALSE)</f>
        <v>#N/A</v>
      </c>
      <c r="K195" t="e">
        <f>VLOOKUP(C195,'Location Data'!$C$5:$G$1004,4,FALSE)</f>
        <v>#N/A</v>
      </c>
      <c r="L195" t="e">
        <f>VLOOKUP(C195,'Location Data'!$C$5:$G$1004,5,FALSE)</f>
        <v>#N/A</v>
      </c>
    </row>
    <row r="196" spans="1:12" x14ac:dyDescent="0.2">
      <c r="A196">
        <f>'Shipment Data for Provisioning'!B201</f>
        <v>0</v>
      </c>
      <c r="B196">
        <f>'Shipment Data for Provisioning'!C201</f>
        <v>0</v>
      </c>
      <c r="C196">
        <f>'Shipment Data for Provisioning'!D201</f>
        <v>0</v>
      </c>
      <c r="D196">
        <f>'Shipment Data for Provisioning'!E201</f>
        <v>0</v>
      </c>
      <c r="E196">
        <f>'Shipment Data for Provisioning'!F201</f>
        <v>0</v>
      </c>
      <c r="F196">
        <f>'Shipment Data for Provisioning'!G201</f>
        <v>0</v>
      </c>
      <c r="G196">
        <f>'Shipment Data for Provisioning'!H201</f>
        <v>0</v>
      </c>
      <c r="H196">
        <f>'Shipment Data for Provisioning'!I201</f>
        <v>0</v>
      </c>
      <c r="I196" t="e">
        <f>VLOOKUP(B196,'Location Data'!$C$5:$G$1004,4,FALSE)</f>
        <v>#N/A</v>
      </c>
      <c r="J196" t="e">
        <f>VLOOKUP(B196,'Location Data'!$C$5:$G$1004,5,FALSE)</f>
        <v>#N/A</v>
      </c>
      <c r="K196" t="e">
        <f>VLOOKUP(C196,'Location Data'!$C$5:$G$1004,4,FALSE)</f>
        <v>#N/A</v>
      </c>
      <c r="L196" t="e">
        <f>VLOOKUP(C196,'Location Data'!$C$5:$G$1004,5,FALSE)</f>
        <v>#N/A</v>
      </c>
    </row>
    <row r="197" spans="1:12" x14ac:dyDescent="0.2">
      <c r="A197">
        <f>'Shipment Data for Provisioning'!B202</f>
        <v>0</v>
      </c>
      <c r="B197">
        <f>'Shipment Data for Provisioning'!C202</f>
        <v>0</v>
      </c>
      <c r="C197">
        <f>'Shipment Data for Provisioning'!D202</f>
        <v>0</v>
      </c>
      <c r="D197">
        <f>'Shipment Data for Provisioning'!E202</f>
        <v>0</v>
      </c>
      <c r="E197">
        <f>'Shipment Data for Provisioning'!F202</f>
        <v>0</v>
      </c>
      <c r="F197">
        <f>'Shipment Data for Provisioning'!G202</f>
        <v>0</v>
      </c>
      <c r="G197">
        <f>'Shipment Data for Provisioning'!H202</f>
        <v>0</v>
      </c>
      <c r="H197">
        <f>'Shipment Data for Provisioning'!I202</f>
        <v>0</v>
      </c>
      <c r="I197" t="e">
        <f>VLOOKUP(B197,'Location Data'!$C$5:$G$1004,4,FALSE)</f>
        <v>#N/A</v>
      </c>
      <c r="J197" t="e">
        <f>VLOOKUP(B197,'Location Data'!$C$5:$G$1004,5,FALSE)</f>
        <v>#N/A</v>
      </c>
      <c r="K197" t="e">
        <f>VLOOKUP(C197,'Location Data'!$C$5:$G$1004,4,FALSE)</f>
        <v>#N/A</v>
      </c>
      <c r="L197" t="e">
        <f>VLOOKUP(C197,'Location Data'!$C$5:$G$1004,5,FALSE)</f>
        <v>#N/A</v>
      </c>
    </row>
    <row r="198" spans="1:12" x14ac:dyDescent="0.2">
      <c r="A198">
        <f>'Shipment Data for Provisioning'!B203</f>
        <v>0</v>
      </c>
      <c r="B198">
        <f>'Shipment Data for Provisioning'!C203</f>
        <v>0</v>
      </c>
      <c r="C198">
        <f>'Shipment Data for Provisioning'!D203</f>
        <v>0</v>
      </c>
      <c r="D198">
        <f>'Shipment Data for Provisioning'!E203</f>
        <v>0</v>
      </c>
      <c r="E198">
        <f>'Shipment Data for Provisioning'!F203</f>
        <v>0</v>
      </c>
      <c r="F198">
        <f>'Shipment Data for Provisioning'!G203</f>
        <v>0</v>
      </c>
      <c r="G198">
        <f>'Shipment Data for Provisioning'!H203</f>
        <v>0</v>
      </c>
      <c r="H198">
        <f>'Shipment Data for Provisioning'!I203</f>
        <v>0</v>
      </c>
      <c r="I198" t="e">
        <f>VLOOKUP(B198,'Location Data'!$C$5:$G$1004,4,FALSE)</f>
        <v>#N/A</v>
      </c>
      <c r="J198" t="e">
        <f>VLOOKUP(B198,'Location Data'!$C$5:$G$1004,5,FALSE)</f>
        <v>#N/A</v>
      </c>
      <c r="K198" t="e">
        <f>VLOOKUP(C198,'Location Data'!$C$5:$G$1004,4,FALSE)</f>
        <v>#N/A</v>
      </c>
      <c r="L198" t="e">
        <f>VLOOKUP(C198,'Location Data'!$C$5:$G$1004,5,FALSE)</f>
        <v>#N/A</v>
      </c>
    </row>
    <row r="199" spans="1:12" x14ac:dyDescent="0.2">
      <c r="A199">
        <f>'Shipment Data for Provisioning'!B204</f>
        <v>0</v>
      </c>
      <c r="B199">
        <f>'Shipment Data for Provisioning'!C204</f>
        <v>0</v>
      </c>
      <c r="C199">
        <f>'Shipment Data for Provisioning'!D204</f>
        <v>0</v>
      </c>
      <c r="D199">
        <f>'Shipment Data for Provisioning'!E204</f>
        <v>0</v>
      </c>
      <c r="E199">
        <f>'Shipment Data for Provisioning'!F204</f>
        <v>0</v>
      </c>
      <c r="F199">
        <f>'Shipment Data for Provisioning'!G204</f>
        <v>0</v>
      </c>
      <c r="G199">
        <f>'Shipment Data for Provisioning'!H204</f>
        <v>0</v>
      </c>
      <c r="H199">
        <f>'Shipment Data for Provisioning'!I204</f>
        <v>0</v>
      </c>
      <c r="I199" t="e">
        <f>VLOOKUP(B199,'Location Data'!$C$5:$G$1004,4,FALSE)</f>
        <v>#N/A</v>
      </c>
      <c r="J199" t="e">
        <f>VLOOKUP(B199,'Location Data'!$C$5:$G$1004,5,FALSE)</f>
        <v>#N/A</v>
      </c>
      <c r="K199" t="e">
        <f>VLOOKUP(C199,'Location Data'!$C$5:$G$1004,4,FALSE)</f>
        <v>#N/A</v>
      </c>
      <c r="L199" t="e">
        <f>VLOOKUP(C199,'Location Data'!$C$5:$G$1004,5,FALSE)</f>
        <v>#N/A</v>
      </c>
    </row>
    <row r="200" spans="1:12" x14ac:dyDescent="0.2">
      <c r="A200">
        <f>'Shipment Data for Provisioning'!B205</f>
        <v>0</v>
      </c>
      <c r="B200">
        <f>'Shipment Data for Provisioning'!C205</f>
        <v>0</v>
      </c>
      <c r="C200">
        <f>'Shipment Data for Provisioning'!D205</f>
        <v>0</v>
      </c>
      <c r="D200">
        <f>'Shipment Data for Provisioning'!E205</f>
        <v>0</v>
      </c>
      <c r="E200">
        <f>'Shipment Data for Provisioning'!F205</f>
        <v>0</v>
      </c>
      <c r="F200">
        <f>'Shipment Data for Provisioning'!G205</f>
        <v>0</v>
      </c>
      <c r="G200">
        <f>'Shipment Data for Provisioning'!H205</f>
        <v>0</v>
      </c>
      <c r="H200">
        <f>'Shipment Data for Provisioning'!I205</f>
        <v>0</v>
      </c>
      <c r="I200" t="e">
        <f>VLOOKUP(B200,'Location Data'!$C$5:$G$1004,4,FALSE)</f>
        <v>#N/A</v>
      </c>
      <c r="J200" t="e">
        <f>VLOOKUP(B200,'Location Data'!$C$5:$G$1004,5,FALSE)</f>
        <v>#N/A</v>
      </c>
      <c r="K200" t="e">
        <f>VLOOKUP(C200,'Location Data'!$C$5:$G$1004,4,FALSE)</f>
        <v>#N/A</v>
      </c>
      <c r="L200" t="e">
        <f>VLOOKUP(C200,'Location Data'!$C$5:$G$1004,5,FALSE)</f>
        <v>#N/A</v>
      </c>
    </row>
    <row r="201" spans="1:12" x14ac:dyDescent="0.2">
      <c r="A201">
        <f>'Shipment Data for Provisioning'!B206</f>
        <v>0</v>
      </c>
      <c r="B201">
        <f>'Shipment Data for Provisioning'!C206</f>
        <v>0</v>
      </c>
      <c r="C201">
        <f>'Shipment Data for Provisioning'!D206</f>
        <v>0</v>
      </c>
      <c r="D201">
        <f>'Shipment Data for Provisioning'!E206</f>
        <v>0</v>
      </c>
      <c r="E201">
        <f>'Shipment Data for Provisioning'!F206</f>
        <v>0</v>
      </c>
      <c r="F201">
        <f>'Shipment Data for Provisioning'!G206</f>
        <v>0</v>
      </c>
      <c r="G201">
        <f>'Shipment Data for Provisioning'!H206</f>
        <v>0</v>
      </c>
      <c r="H201">
        <f>'Shipment Data for Provisioning'!I206</f>
        <v>0</v>
      </c>
      <c r="I201" t="e">
        <f>VLOOKUP(B201,'Location Data'!$C$5:$G$1004,4,FALSE)</f>
        <v>#N/A</v>
      </c>
      <c r="J201" t="e">
        <f>VLOOKUP(B201,'Location Data'!$C$5:$G$1004,5,FALSE)</f>
        <v>#N/A</v>
      </c>
      <c r="K201" t="e">
        <f>VLOOKUP(C201,'Location Data'!$C$5:$G$1004,4,FALSE)</f>
        <v>#N/A</v>
      </c>
      <c r="L201" t="e">
        <f>VLOOKUP(C201,'Location Data'!$C$5:$G$1004,5,FALSE)</f>
        <v>#N/A</v>
      </c>
    </row>
    <row r="202" spans="1:12" x14ac:dyDescent="0.2">
      <c r="A202">
        <f>'Shipment Data for Provisioning'!B207</f>
        <v>0</v>
      </c>
      <c r="B202">
        <f>'Shipment Data for Provisioning'!C207</f>
        <v>0</v>
      </c>
      <c r="C202">
        <f>'Shipment Data for Provisioning'!D207</f>
        <v>0</v>
      </c>
      <c r="D202">
        <f>'Shipment Data for Provisioning'!E207</f>
        <v>0</v>
      </c>
      <c r="E202">
        <f>'Shipment Data for Provisioning'!F207</f>
        <v>0</v>
      </c>
      <c r="F202">
        <f>'Shipment Data for Provisioning'!G207</f>
        <v>0</v>
      </c>
      <c r="G202">
        <f>'Shipment Data for Provisioning'!H207</f>
        <v>0</v>
      </c>
      <c r="H202">
        <f>'Shipment Data for Provisioning'!I207</f>
        <v>0</v>
      </c>
      <c r="I202" t="e">
        <f>VLOOKUP(B202,'Location Data'!$C$5:$G$1004,4,FALSE)</f>
        <v>#N/A</v>
      </c>
      <c r="J202" t="e">
        <f>VLOOKUP(B202,'Location Data'!$C$5:$G$1004,5,FALSE)</f>
        <v>#N/A</v>
      </c>
      <c r="K202" t="e">
        <f>VLOOKUP(C202,'Location Data'!$C$5:$G$1004,4,FALSE)</f>
        <v>#N/A</v>
      </c>
      <c r="L202" t="e">
        <f>VLOOKUP(C202,'Location Data'!$C$5:$G$1004,5,FALSE)</f>
        <v>#N/A</v>
      </c>
    </row>
    <row r="203" spans="1:12" x14ac:dyDescent="0.2">
      <c r="A203">
        <f>'Shipment Data for Provisioning'!B208</f>
        <v>0</v>
      </c>
      <c r="B203">
        <f>'Shipment Data for Provisioning'!C208</f>
        <v>0</v>
      </c>
      <c r="C203">
        <f>'Shipment Data for Provisioning'!D208</f>
        <v>0</v>
      </c>
      <c r="D203">
        <f>'Shipment Data for Provisioning'!E208</f>
        <v>0</v>
      </c>
      <c r="E203">
        <f>'Shipment Data for Provisioning'!F208</f>
        <v>0</v>
      </c>
      <c r="F203">
        <f>'Shipment Data for Provisioning'!G208</f>
        <v>0</v>
      </c>
      <c r="G203">
        <f>'Shipment Data for Provisioning'!H208</f>
        <v>0</v>
      </c>
      <c r="H203">
        <f>'Shipment Data for Provisioning'!I208</f>
        <v>0</v>
      </c>
      <c r="I203" t="e">
        <f>VLOOKUP(B203,'Location Data'!$C$5:$G$1004,4,FALSE)</f>
        <v>#N/A</v>
      </c>
      <c r="J203" t="e">
        <f>VLOOKUP(B203,'Location Data'!$C$5:$G$1004,5,FALSE)</f>
        <v>#N/A</v>
      </c>
      <c r="K203" t="e">
        <f>VLOOKUP(C203,'Location Data'!$C$5:$G$1004,4,FALSE)</f>
        <v>#N/A</v>
      </c>
      <c r="L203" t="e">
        <f>VLOOKUP(C203,'Location Data'!$C$5:$G$1004,5,FALSE)</f>
        <v>#N/A</v>
      </c>
    </row>
    <row r="204" spans="1:12" x14ac:dyDescent="0.2">
      <c r="A204">
        <f>'Shipment Data for Provisioning'!B209</f>
        <v>0</v>
      </c>
      <c r="B204">
        <f>'Shipment Data for Provisioning'!C209</f>
        <v>0</v>
      </c>
      <c r="C204">
        <f>'Shipment Data for Provisioning'!D209</f>
        <v>0</v>
      </c>
      <c r="D204">
        <f>'Shipment Data for Provisioning'!E209</f>
        <v>0</v>
      </c>
      <c r="E204">
        <f>'Shipment Data for Provisioning'!F209</f>
        <v>0</v>
      </c>
      <c r="F204">
        <f>'Shipment Data for Provisioning'!G209</f>
        <v>0</v>
      </c>
      <c r="G204">
        <f>'Shipment Data for Provisioning'!H209</f>
        <v>0</v>
      </c>
      <c r="H204">
        <f>'Shipment Data for Provisioning'!I209</f>
        <v>0</v>
      </c>
      <c r="I204" t="e">
        <f>VLOOKUP(B204,'Location Data'!$C$5:$G$1004,4,FALSE)</f>
        <v>#N/A</v>
      </c>
      <c r="J204" t="e">
        <f>VLOOKUP(B204,'Location Data'!$C$5:$G$1004,5,FALSE)</f>
        <v>#N/A</v>
      </c>
      <c r="K204" t="e">
        <f>VLOOKUP(C204,'Location Data'!$C$5:$G$1004,4,FALSE)</f>
        <v>#N/A</v>
      </c>
      <c r="L204" t="e">
        <f>VLOOKUP(C204,'Location Data'!$C$5:$G$1004,5,FALSE)</f>
        <v>#N/A</v>
      </c>
    </row>
    <row r="205" spans="1:12" x14ac:dyDescent="0.2">
      <c r="A205">
        <f>'Shipment Data for Provisioning'!B210</f>
        <v>0</v>
      </c>
      <c r="B205">
        <f>'Shipment Data for Provisioning'!C210</f>
        <v>0</v>
      </c>
      <c r="C205">
        <f>'Shipment Data for Provisioning'!D210</f>
        <v>0</v>
      </c>
      <c r="D205">
        <f>'Shipment Data for Provisioning'!E210</f>
        <v>0</v>
      </c>
      <c r="E205">
        <f>'Shipment Data for Provisioning'!F210</f>
        <v>0</v>
      </c>
      <c r="F205">
        <f>'Shipment Data for Provisioning'!G210</f>
        <v>0</v>
      </c>
      <c r="G205">
        <f>'Shipment Data for Provisioning'!H210</f>
        <v>0</v>
      </c>
      <c r="H205">
        <f>'Shipment Data for Provisioning'!I210</f>
        <v>0</v>
      </c>
      <c r="I205" t="e">
        <f>VLOOKUP(B205,'Location Data'!$C$5:$G$1004,4,FALSE)</f>
        <v>#N/A</v>
      </c>
      <c r="J205" t="e">
        <f>VLOOKUP(B205,'Location Data'!$C$5:$G$1004,5,FALSE)</f>
        <v>#N/A</v>
      </c>
      <c r="K205" t="e">
        <f>VLOOKUP(C205,'Location Data'!$C$5:$G$1004,4,FALSE)</f>
        <v>#N/A</v>
      </c>
      <c r="L205" t="e">
        <f>VLOOKUP(C205,'Location Data'!$C$5:$G$1004,5,FALSE)</f>
        <v>#N/A</v>
      </c>
    </row>
    <row r="206" spans="1:12" x14ac:dyDescent="0.2">
      <c r="A206">
        <f>'Shipment Data for Provisioning'!B211</f>
        <v>0</v>
      </c>
      <c r="B206">
        <f>'Shipment Data for Provisioning'!C211</f>
        <v>0</v>
      </c>
      <c r="C206">
        <f>'Shipment Data for Provisioning'!D211</f>
        <v>0</v>
      </c>
      <c r="D206">
        <f>'Shipment Data for Provisioning'!E211</f>
        <v>0</v>
      </c>
      <c r="E206">
        <f>'Shipment Data for Provisioning'!F211</f>
        <v>0</v>
      </c>
      <c r="F206">
        <f>'Shipment Data for Provisioning'!G211</f>
        <v>0</v>
      </c>
      <c r="G206">
        <f>'Shipment Data for Provisioning'!H211</f>
        <v>0</v>
      </c>
      <c r="H206">
        <f>'Shipment Data for Provisioning'!I211</f>
        <v>0</v>
      </c>
      <c r="I206" t="e">
        <f>VLOOKUP(B206,'Location Data'!$C$5:$G$1004,4,FALSE)</f>
        <v>#N/A</v>
      </c>
      <c r="J206" t="e">
        <f>VLOOKUP(B206,'Location Data'!$C$5:$G$1004,5,FALSE)</f>
        <v>#N/A</v>
      </c>
      <c r="K206" t="e">
        <f>VLOOKUP(C206,'Location Data'!$C$5:$G$1004,4,FALSE)</f>
        <v>#N/A</v>
      </c>
      <c r="L206" t="e">
        <f>VLOOKUP(C206,'Location Data'!$C$5:$G$1004,5,FALSE)</f>
        <v>#N/A</v>
      </c>
    </row>
    <row r="207" spans="1:12" x14ac:dyDescent="0.2">
      <c r="A207">
        <f>'Shipment Data for Provisioning'!B212</f>
        <v>0</v>
      </c>
      <c r="B207">
        <f>'Shipment Data for Provisioning'!C212</f>
        <v>0</v>
      </c>
      <c r="C207">
        <f>'Shipment Data for Provisioning'!D212</f>
        <v>0</v>
      </c>
      <c r="D207">
        <f>'Shipment Data for Provisioning'!E212</f>
        <v>0</v>
      </c>
      <c r="E207">
        <f>'Shipment Data for Provisioning'!F212</f>
        <v>0</v>
      </c>
      <c r="F207">
        <f>'Shipment Data for Provisioning'!G212</f>
        <v>0</v>
      </c>
      <c r="G207">
        <f>'Shipment Data for Provisioning'!H212</f>
        <v>0</v>
      </c>
      <c r="H207">
        <f>'Shipment Data for Provisioning'!I212</f>
        <v>0</v>
      </c>
      <c r="I207" t="e">
        <f>VLOOKUP(B207,'Location Data'!$C$5:$G$1004,4,FALSE)</f>
        <v>#N/A</v>
      </c>
      <c r="J207" t="e">
        <f>VLOOKUP(B207,'Location Data'!$C$5:$G$1004,5,FALSE)</f>
        <v>#N/A</v>
      </c>
      <c r="K207" t="e">
        <f>VLOOKUP(C207,'Location Data'!$C$5:$G$1004,4,FALSE)</f>
        <v>#N/A</v>
      </c>
      <c r="L207" t="e">
        <f>VLOOKUP(C207,'Location Data'!$C$5:$G$1004,5,FALSE)</f>
        <v>#N/A</v>
      </c>
    </row>
    <row r="208" spans="1:12" x14ac:dyDescent="0.2">
      <c r="A208">
        <f>'Shipment Data for Provisioning'!B213</f>
        <v>0</v>
      </c>
      <c r="B208">
        <f>'Shipment Data for Provisioning'!C213</f>
        <v>0</v>
      </c>
      <c r="C208">
        <f>'Shipment Data for Provisioning'!D213</f>
        <v>0</v>
      </c>
      <c r="D208">
        <f>'Shipment Data for Provisioning'!E213</f>
        <v>0</v>
      </c>
      <c r="E208">
        <f>'Shipment Data for Provisioning'!F213</f>
        <v>0</v>
      </c>
      <c r="F208">
        <f>'Shipment Data for Provisioning'!G213</f>
        <v>0</v>
      </c>
      <c r="G208">
        <f>'Shipment Data for Provisioning'!H213</f>
        <v>0</v>
      </c>
      <c r="H208">
        <f>'Shipment Data for Provisioning'!I213</f>
        <v>0</v>
      </c>
      <c r="I208" t="e">
        <f>VLOOKUP(B208,'Location Data'!$C$5:$G$1004,4,FALSE)</f>
        <v>#N/A</v>
      </c>
      <c r="J208" t="e">
        <f>VLOOKUP(B208,'Location Data'!$C$5:$G$1004,5,FALSE)</f>
        <v>#N/A</v>
      </c>
      <c r="K208" t="e">
        <f>VLOOKUP(C208,'Location Data'!$C$5:$G$1004,4,FALSE)</f>
        <v>#N/A</v>
      </c>
      <c r="L208" t="e">
        <f>VLOOKUP(C208,'Location Data'!$C$5:$G$1004,5,FALSE)</f>
        <v>#N/A</v>
      </c>
    </row>
    <row r="209" spans="1:12" x14ac:dyDescent="0.2">
      <c r="A209">
        <f>'Shipment Data for Provisioning'!B214</f>
        <v>0</v>
      </c>
      <c r="B209">
        <f>'Shipment Data for Provisioning'!C214</f>
        <v>0</v>
      </c>
      <c r="C209">
        <f>'Shipment Data for Provisioning'!D214</f>
        <v>0</v>
      </c>
      <c r="D209">
        <f>'Shipment Data for Provisioning'!E214</f>
        <v>0</v>
      </c>
      <c r="E209">
        <f>'Shipment Data for Provisioning'!F214</f>
        <v>0</v>
      </c>
      <c r="F209">
        <f>'Shipment Data for Provisioning'!G214</f>
        <v>0</v>
      </c>
      <c r="G209">
        <f>'Shipment Data for Provisioning'!H214</f>
        <v>0</v>
      </c>
      <c r="H209">
        <f>'Shipment Data for Provisioning'!I214</f>
        <v>0</v>
      </c>
      <c r="I209" t="e">
        <f>VLOOKUP(B209,'Location Data'!$C$5:$G$1004,4,FALSE)</f>
        <v>#N/A</v>
      </c>
      <c r="J209" t="e">
        <f>VLOOKUP(B209,'Location Data'!$C$5:$G$1004,5,FALSE)</f>
        <v>#N/A</v>
      </c>
      <c r="K209" t="e">
        <f>VLOOKUP(C209,'Location Data'!$C$5:$G$1004,4,FALSE)</f>
        <v>#N/A</v>
      </c>
      <c r="L209" t="e">
        <f>VLOOKUP(C209,'Location Data'!$C$5:$G$1004,5,FALSE)</f>
        <v>#N/A</v>
      </c>
    </row>
    <row r="210" spans="1:12" x14ac:dyDescent="0.2">
      <c r="A210">
        <f>'Shipment Data for Provisioning'!B215</f>
        <v>0</v>
      </c>
      <c r="B210">
        <f>'Shipment Data for Provisioning'!C215</f>
        <v>0</v>
      </c>
      <c r="C210">
        <f>'Shipment Data for Provisioning'!D215</f>
        <v>0</v>
      </c>
      <c r="D210">
        <f>'Shipment Data for Provisioning'!E215</f>
        <v>0</v>
      </c>
      <c r="E210">
        <f>'Shipment Data for Provisioning'!F215</f>
        <v>0</v>
      </c>
      <c r="F210">
        <f>'Shipment Data for Provisioning'!G215</f>
        <v>0</v>
      </c>
      <c r="G210">
        <f>'Shipment Data for Provisioning'!H215</f>
        <v>0</v>
      </c>
      <c r="H210">
        <f>'Shipment Data for Provisioning'!I215</f>
        <v>0</v>
      </c>
      <c r="I210" t="e">
        <f>VLOOKUP(B210,'Location Data'!$C$5:$G$1004,4,FALSE)</f>
        <v>#N/A</v>
      </c>
      <c r="J210" t="e">
        <f>VLOOKUP(B210,'Location Data'!$C$5:$G$1004,5,FALSE)</f>
        <v>#N/A</v>
      </c>
      <c r="K210" t="e">
        <f>VLOOKUP(C210,'Location Data'!$C$5:$G$1004,4,FALSE)</f>
        <v>#N/A</v>
      </c>
      <c r="L210" t="e">
        <f>VLOOKUP(C210,'Location Data'!$C$5:$G$1004,5,FALSE)</f>
        <v>#N/A</v>
      </c>
    </row>
    <row r="211" spans="1:12" x14ac:dyDescent="0.2">
      <c r="A211">
        <f>'Shipment Data for Provisioning'!B216</f>
        <v>0</v>
      </c>
      <c r="B211">
        <f>'Shipment Data for Provisioning'!C216</f>
        <v>0</v>
      </c>
      <c r="C211">
        <f>'Shipment Data for Provisioning'!D216</f>
        <v>0</v>
      </c>
      <c r="D211">
        <f>'Shipment Data for Provisioning'!E216</f>
        <v>0</v>
      </c>
      <c r="E211">
        <f>'Shipment Data for Provisioning'!F216</f>
        <v>0</v>
      </c>
      <c r="F211">
        <f>'Shipment Data for Provisioning'!G216</f>
        <v>0</v>
      </c>
      <c r="G211">
        <f>'Shipment Data for Provisioning'!H216</f>
        <v>0</v>
      </c>
      <c r="H211">
        <f>'Shipment Data for Provisioning'!I216</f>
        <v>0</v>
      </c>
      <c r="I211" t="e">
        <f>VLOOKUP(B211,'Location Data'!$C$5:$G$1004,4,FALSE)</f>
        <v>#N/A</v>
      </c>
      <c r="J211" t="e">
        <f>VLOOKUP(B211,'Location Data'!$C$5:$G$1004,5,FALSE)</f>
        <v>#N/A</v>
      </c>
      <c r="K211" t="e">
        <f>VLOOKUP(C211,'Location Data'!$C$5:$G$1004,4,FALSE)</f>
        <v>#N/A</v>
      </c>
      <c r="L211" t="e">
        <f>VLOOKUP(C211,'Location Data'!$C$5:$G$1004,5,FALSE)</f>
        <v>#N/A</v>
      </c>
    </row>
    <row r="212" spans="1:12" x14ac:dyDescent="0.2">
      <c r="A212">
        <f>'Shipment Data for Provisioning'!B217</f>
        <v>0</v>
      </c>
      <c r="B212">
        <f>'Shipment Data for Provisioning'!C217</f>
        <v>0</v>
      </c>
      <c r="C212">
        <f>'Shipment Data for Provisioning'!D217</f>
        <v>0</v>
      </c>
      <c r="D212">
        <f>'Shipment Data for Provisioning'!E217</f>
        <v>0</v>
      </c>
      <c r="E212">
        <f>'Shipment Data for Provisioning'!F217</f>
        <v>0</v>
      </c>
      <c r="F212">
        <f>'Shipment Data for Provisioning'!G217</f>
        <v>0</v>
      </c>
      <c r="G212">
        <f>'Shipment Data for Provisioning'!H217</f>
        <v>0</v>
      </c>
      <c r="H212">
        <f>'Shipment Data for Provisioning'!I217</f>
        <v>0</v>
      </c>
      <c r="I212" t="e">
        <f>VLOOKUP(B212,'Location Data'!$C$5:$G$1004,4,FALSE)</f>
        <v>#N/A</v>
      </c>
      <c r="J212" t="e">
        <f>VLOOKUP(B212,'Location Data'!$C$5:$G$1004,5,FALSE)</f>
        <v>#N/A</v>
      </c>
      <c r="K212" t="e">
        <f>VLOOKUP(C212,'Location Data'!$C$5:$G$1004,4,FALSE)</f>
        <v>#N/A</v>
      </c>
      <c r="L212" t="e">
        <f>VLOOKUP(C212,'Location Data'!$C$5:$G$1004,5,FALSE)</f>
        <v>#N/A</v>
      </c>
    </row>
    <row r="213" spans="1:12" x14ac:dyDescent="0.2">
      <c r="A213">
        <f>'Shipment Data for Provisioning'!B218</f>
        <v>0</v>
      </c>
      <c r="B213">
        <f>'Shipment Data for Provisioning'!C218</f>
        <v>0</v>
      </c>
      <c r="C213">
        <f>'Shipment Data for Provisioning'!D218</f>
        <v>0</v>
      </c>
      <c r="D213">
        <f>'Shipment Data for Provisioning'!E218</f>
        <v>0</v>
      </c>
      <c r="E213">
        <f>'Shipment Data for Provisioning'!F218</f>
        <v>0</v>
      </c>
      <c r="F213">
        <f>'Shipment Data for Provisioning'!G218</f>
        <v>0</v>
      </c>
      <c r="G213">
        <f>'Shipment Data for Provisioning'!H218</f>
        <v>0</v>
      </c>
      <c r="H213">
        <f>'Shipment Data for Provisioning'!I218</f>
        <v>0</v>
      </c>
      <c r="I213" t="e">
        <f>VLOOKUP(B213,'Location Data'!$C$5:$G$1004,4,FALSE)</f>
        <v>#N/A</v>
      </c>
      <c r="J213" t="e">
        <f>VLOOKUP(B213,'Location Data'!$C$5:$G$1004,5,FALSE)</f>
        <v>#N/A</v>
      </c>
      <c r="K213" t="e">
        <f>VLOOKUP(C213,'Location Data'!$C$5:$G$1004,4,FALSE)</f>
        <v>#N/A</v>
      </c>
      <c r="L213" t="e">
        <f>VLOOKUP(C213,'Location Data'!$C$5:$G$1004,5,FALSE)</f>
        <v>#N/A</v>
      </c>
    </row>
    <row r="214" spans="1:12" x14ac:dyDescent="0.2">
      <c r="A214">
        <f>'Shipment Data for Provisioning'!B219</f>
        <v>0</v>
      </c>
      <c r="B214">
        <f>'Shipment Data for Provisioning'!C219</f>
        <v>0</v>
      </c>
      <c r="C214">
        <f>'Shipment Data for Provisioning'!D219</f>
        <v>0</v>
      </c>
      <c r="D214">
        <f>'Shipment Data for Provisioning'!E219</f>
        <v>0</v>
      </c>
      <c r="E214">
        <f>'Shipment Data for Provisioning'!F219</f>
        <v>0</v>
      </c>
      <c r="F214">
        <f>'Shipment Data for Provisioning'!G219</f>
        <v>0</v>
      </c>
      <c r="G214">
        <f>'Shipment Data for Provisioning'!H219</f>
        <v>0</v>
      </c>
      <c r="H214">
        <f>'Shipment Data for Provisioning'!I219</f>
        <v>0</v>
      </c>
      <c r="I214" t="e">
        <f>VLOOKUP(B214,'Location Data'!$C$5:$G$1004,4,FALSE)</f>
        <v>#N/A</v>
      </c>
      <c r="J214" t="e">
        <f>VLOOKUP(B214,'Location Data'!$C$5:$G$1004,5,FALSE)</f>
        <v>#N/A</v>
      </c>
      <c r="K214" t="e">
        <f>VLOOKUP(C214,'Location Data'!$C$5:$G$1004,4,FALSE)</f>
        <v>#N/A</v>
      </c>
      <c r="L214" t="e">
        <f>VLOOKUP(C214,'Location Data'!$C$5:$G$1004,5,FALSE)</f>
        <v>#N/A</v>
      </c>
    </row>
    <row r="215" spans="1:12" x14ac:dyDescent="0.2">
      <c r="A215">
        <f>'Shipment Data for Provisioning'!B220</f>
        <v>0</v>
      </c>
      <c r="B215">
        <f>'Shipment Data for Provisioning'!C220</f>
        <v>0</v>
      </c>
      <c r="C215">
        <f>'Shipment Data for Provisioning'!D220</f>
        <v>0</v>
      </c>
      <c r="D215">
        <f>'Shipment Data for Provisioning'!E220</f>
        <v>0</v>
      </c>
      <c r="E215">
        <f>'Shipment Data for Provisioning'!F220</f>
        <v>0</v>
      </c>
      <c r="F215">
        <f>'Shipment Data for Provisioning'!G220</f>
        <v>0</v>
      </c>
      <c r="G215">
        <f>'Shipment Data for Provisioning'!H220</f>
        <v>0</v>
      </c>
      <c r="H215">
        <f>'Shipment Data for Provisioning'!I220</f>
        <v>0</v>
      </c>
      <c r="I215" t="e">
        <f>VLOOKUP(B215,'Location Data'!$C$5:$G$1004,4,FALSE)</f>
        <v>#N/A</v>
      </c>
      <c r="J215" t="e">
        <f>VLOOKUP(B215,'Location Data'!$C$5:$G$1004,5,FALSE)</f>
        <v>#N/A</v>
      </c>
      <c r="K215" t="e">
        <f>VLOOKUP(C215,'Location Data'!$C$5:$G$1004,4,FALSE)</f>
        <v>#N/A</v>
      </c>
      <c r="L215" t="e">
        <f>VLOOKUP(C215,'Location Data'!$C$5:$G$1004,5,FALSE)</f>
        <v>#N/A</v>
      </c>
    </row>
    <row r="216" spans="1:12" x14ac:dyDescent="0.2">
      <c r="A216">
        <f>'Shipment Data for Provisioning'!B221</f>
        <v>0</v>
      </c>
      <c r="B216">
        <f>'Shipment Data for Provisioning'!C221</f>
        <v>0</v>
      </c>
      <c r="C216">
        <f>'Shipment Data for Provisioning'!D221</f>
        <v>0</v>
      </c>
      <c r="D216">
        <f>'Shipment Data for Provisioning'!E221</f>
        <v>0</v>
      </c>
      <c r="E216">
        <f>'Shipment Data for Provisioning'!F221</f>
        <v>0</v>
      </c>
      <c r="F216">
        <f>'Shipment Data for Provisioning'!G221</f>
        <v>0</v>
      </c>
      <c r="G216">
        <f>'Shipment Data for Provisioning'!H221</f>
        <v>0</v>
      </c>
      <c r="H216">
        <f>'Shipment Data for Provisioning'!I221</f>
        <v>0</v>
      </c>
      <c r="I216" t="e">
        <f>VLOOKUP(B216,'Location Data'!$C$5:$G$1004,4,FALSE)</f>
        <v>#N/A</v>
      </c>
      <c r="J216" t="e">
        <f>VLOOKUP(B216,'Location Data'!$C$5:$G$1004,5,FALSE)</f>
        <v>#N/A</v>
      </c>
      <c r="K216" t="e">
        <f>VLOOKUP(C216,'Location Data'!$C$5:$G$1004,4,FALSE)</f>
        <v>#N/A</v>
      </c>
      <c r="L216" t="e">
        <f>VLOOKUP(C216,'Location Data'!$C$5:$G$1004,5,FALSE)</f>
        <v>#N/A</v>
      </c>
    </row>
    <row r="217" spans="1:12" x14ac:dyDescent="0.2">
      <c r="A217">
        <f>'Shipment Data for Provisioning'!B222</f>
        <v>0</v>
      </c>
      <c r="B217">
        <f>'Shipment Data for Provisioning'!C222</f>
        <v>0</v>
      </c>
      <c r="C217">
        <f>'Shipment Data for Provisioning'!D222</f>
        <v>0</v>
      </c>
      <c r="D217">
        <f>'Shipment Data for Provisioning'!E222</f>
        <v>0</v>
      </c>
      <c r="E217">
        <f>'Shipment Data for Provisioning'!F222</f>
        <v>0</v>
      </c>
      <c r="F217">
        <f>'Shipment Data for Provisioning'!G222</f>
        <v>0</v>
      </c>
      <c r="G217">
        <f>'Shipment Data for Provisioning'!H222</f>
        <v>0</v>
      </c>
      <c r="H217">
        <f>'Shipment Data for Provisioning'!I222</f>
        <v>0</v>
      </c>
      <c r="I217" t="e">
        <f>VLOOKUP(B217,'Location Data'!$C$5:$G$1004,4,FALSE)</f>
        <v>#N/A</v>
      </c>
      <c r="J217" t="e">
        <f>VLOOKUP(B217,'Location Data'!$C$5:$G$1004,5,FALSE)</f>
        <v>#N/A</v>
      </c>
      <c r="K217" t="e">
        <f>VLOOKUP(C217,'Location Data'!$C$5:$G$1004,4,FALSE)</f>
        <v>#N/A</v>
      </c>
      <c r="L217" t="e">
        <f>VLOOKUP(C217,'Location Data'!$C$5:$G$1004,5,FALSE)</f>
        <v>#N/A</v>
      </c>
    </row>
    <row r="218" spans="1:12" x14ac:dyDescent="0.2">
      <c r="A218">
        <f>'Shipment Data for Provisioning'!B223</f>
        <v>0</v>
      </c>
      <c r="B218">
        <f>'Shipment Data for Provisioning'!C223</f>
        <v>0</v>
      </c>
      <c r="C218">
        <f>'Shipment Data for Provisioning'!D223</f>
        <v>0</v>
      </c>
      <c r="D218">
        <f>'Shipment Data for Provisioning'!E223</f>
        <v>0</v>
      </c>
      <c r="E218">
        <f>'Shipment Data for Provisioning'!F223</f>
        <v>0</v>
      </c>
      <c r="F218">
        <f>'Shipment Data for Provisioning'!G223</f>
        <v>0</v>
      </c>
      <c r="G218">
        <f>'Shipment Data for Provisioning'!H223</f>
        <v>0</v>
      </c>
      <c r="H218">
        <f>'Shipment Data for Provisioning'!I223</f>
        <v>0</v>
      </c>
      <c r="I218" t="e">
        <f>VLOOKUP(B218,'Location Data'!$C$5:$G$1004,4,FALSE)</f>
        <v>#N/A</v>
      </c>
      <c r="J218" t="e">
        <f>VLOOKUP(B218,'Location Data'!$C$5:$G$1004,5,FALSE)</f>
        <v>#N/A</v>
      </c>
      <c r="K218" t="e">
        <f>VLOOKUP(C218,'Location Data'!$C$5:$G$1004,4,FALSE)</f>
        <v>#N/A</v>
      </c>
      <c r="L218" t="e">
        <f>VLOOKUP(C218,'Location Data'!$C$5:$G$1004,5,FALSE)</f>
        <v>#N/A</v>
      </c>
    </row>
    <row r="219" spans="1:12" x14ac:dyDescent="0.2">
      <c r="A219">
        <f>'Shipment Data for Provisioning'!B224</f>
        <v>0</v>
      </c>
      <c r="B219">
        <f>'Shipment Data for Provisioning'!C224</f>
        <v>0</v>
      </c>
      <c r="C219">
        <f>'Shipment Data for Provisioning'!D224</f>
        <v>0</v>
      </c>
      <c r="D219">
        <f>'Shipment Data for Provisioning'!E224</f>
        <v>0</v>
      </c>
      <c r="E219">
        <f>'Shipment Data for Provisioning'!F224</f>
        <v>0</v>
      </c>
      <c r="F219">
        <f>'Shipment Data for Provisioning'!G224</f>
        <v>0</v>
      </c>
      <c r="G219">
        <f>'Shipment Data for Provisioning'!H224</f>
        <v>0</v>
      </c>
      <c r="H219">
        <f>'Shipment Data for Provisioning'!I224</f>
        <v>0</v>
      </c>
      <c r="I219" t="e">
        <f>VLOOKUP(B219,'Location Data'!$C$5:$G$1004,4,FALSE)</f>
        <v>#N/A</v>
      </c>
      <c r="J219" t="e">
        <f>VLOOKUP(B219,'Location Data'!$C$5:$G$1004,5,FALSE)</f>
        <v>#N/A</v>
      </c>
      <c r="K219" t="e">
        <f>VLOOKUP(C219,'Location Data'!$C$5:$G$1004,4,FALSE)</f>
        <v>#N/A</v>
      </c>
      <c r="L219" t="e">
        <f>VLOOKUP(C219,'Location Data'!$C$5:$G$1004,5,FALSE)</f>
        <v>#N/A</v>
      </c>
    </row>
    <row r="220" spans="1:12" x14ac:dyDescent="0.2">
      <c r="A220">
        <f>'Shipment Data for Provisioning'!B225</f>
        <v>0</v>
      </c>
      <c r="B220">
        <f>'Shipment Data for Provisioning'!C225</f>
        <v>0</v>
      </c>
      <c r="C220">
        <f>'Shipment Data for Provisioning'!D225</f>
        <v>0</v>
      </c>
      <c r="D220">
        <f>'Shipment Data for Provisioning'!E225</f>
        <v>0</v>
      </c>
      <c r="E220">
        <f>'Shipment Data for Provisioning'!F225</f>
        <v>0</v>
      </c>
      <c r="F220">
        <f>'Shipment Data for Provisioning'!G225</f>
        <v>0</v>
      </c>
      <c r="G220">
        <f>'Shipment Data for Provisioning'!H225</f>
        <v>0</v>
      </c>
      <c r="H220">
        <f>'Shipment Data for Provisioning'!I225</f>
        <v>0</v>
      </c>
      <c r="I220" t="e">
        <f>VLOOKUP(B220,'Location Data'!$C$5:$G$1004,4,FALSE)</f>
        <v>#N/A</v>
      </c>
      <c r="J220" t="e">
        <f>VLOOKUP(B220,'Location Data'!$C$5:$G$1004,5,FALSE)</f>
        <v>#N/A</v>
      </c>
      <c r="K220" t="e">
        <f>VLOOKUP(C220,'Location Data'!$C$5:$G$1004,4,FALSE)</f>
        <v>#N/A</v>
      </c>
      <c r="L220" t="e">
        <f>VLOOKUP(C220,'Location Data'!$C$5:$G$1004,5,FALSE)</f>
        <v>#N/A</v>
      </c>
    </row>
    <row r="221" spans="1:12" x14ac:dyDescent="0.2">
      <c r="A221">
        <f>'Shipment Data for Provisioning'!B226</f>
        <v>0</v>
      </c>
      <c r="B221">
        <f>'Shipment Data for Provisioning'!C226</f>
        <v>0</v>
      </c>
      <c r="C221">
        <f>'Shipment Data for Provisioning'!D226</f>
        <v>0</v>
      </c>
      <c r="D221">
        <f>'Shipment Data for Provisioning'!E226</f>
        <v>0</v>
      </c>
      <c r="E221">
        <f>'Shipment Data for Provisioning'!F226</f>
        <v>0</v>
      </c>
      <c r="F221">
        <f>'Shipment Data for Provisioning'!G226</f>
        <v>0</v>
      </c>
      <c r="G221">
        <f>'Shipment Data for Provisioning'!H226</f>
        <v>0</v>
      </c>
      <c r="H221">
        <f>'Shipment Data for Provisioning'!I226</f>
        <v>0</v>
      </c>
      <c r="I221" t="e">
        <f>VLOOKUP(B221,'Location Data'!$C$5:$G$1004,4,FALSE)</f>
        <v>#N/A</v>
      </c>
      <c r="J221" t="e">
        <f>VLOOKUP(B221,'Location Data'!$C$5:$G$1004,5,FALSE)</f>
        <v>#N/A</v>
      </c>
      <c r="K221" t="e">
        <f>VLOOKUP(C221,'Location Data'!$C$5:$G$1004,4,FALSE)</f>
        <v>#N/A</v>
      </c>
      <c r="L221" t="e">
        <f>VLOOKUP(C221,'Location Data'!$C$5:$G$1004,5,FALSE)</f>
        <v>#N/A</v>
      </c>
    </row>
    <row r="222" spans="1:12" x14ac:dyDescent="0.2">
      <c r="A222">
        <f>'Shipment Data for Provisioning'!B227</f>
        <v>0</v>
      </c>
      <c r="B222">
        <f>'Shipment Data for Provisioning'!C227</f>
        <v>0</v>
      </c>
      <c r="C222">
        <f>'Shipment Data for Provisioning'!D227</f>
        <v>0</v>
      </c>
      <c r="D222">
        <f>'Shipment Data for Provisioning'!E227</f>
        <v>0</v>
      </c>
      <c r="E222">
        <f>'Shipment Data for Provisioning'!F227</f>
        <v>0</v>
      </c>
      <c r="F222">
        <f>'Shipment Data for Provisioning'!G227</f>
        <v>0</v>
      </c>
      <c r="G222">
        <f>'Shipment Data for Provisioning'!H227</f>
        <v>0</v>
      </c>
      <c r="H222">
        <f>'Shipment Data for Provisioning'!I227</f>
        <v>0</v>
      </c>
      <c r="I222" t="e">
        <f>VLOOKUP(B222,'Location Data'!$C$5:$G$1004,4,FALSE)</f>
        <v>#N/A</v>
      </c>
      <c r="J222" t="e">
        <f>VLOOKUP(B222,'Location Data'!$C$5:$G$1004,5,FALSE)</f>
        <v>#N/A</v>
      </c>
      <c r="K222" t="e">
        <f>VLOOKUP(C222,'Location Data'!$C$5:$G$1004,4,FALSE)</f>
        <v>#N/A</v>
      </c>
      <c r="L222" t="e">
        <f>VLOOKUP(C222,'Location Data'!$C$5:$G$1004,5,FALSE)</f>
        <v>#N/A</v>
      </c>
    </row>
    <row r="223" spans="1:12" x14ac:dyDescent="0.2">
      <c r="A223">
        <f>'Shipment Data for Provisioning'!B228</f>
        <v>0</v>
      </c>
      <c r="B223">
        <f>'Shipment Data for Provisioning'!C228</f>
        <v>0</v>
      </c>
      <c r="C223">
        <f>'Shipment Data for Provisioning'!D228</f>
        <v>0</v>
      </c>
      <c r="D223">
        <f>'Shipment Data for Provisioning'!E228</f>
        <v>0</v>
      </c>
      <c r="E223">
        <f>'Shipment Data for Provisioning'!F228</f>
        <v>0</v>
      </c>
      <c r="F223">
        <f>'Shipment Data for Provisioning'!G228</f>
        <v>0</v>
      </c>
      <c r="G223">
        <f>'Shipment Data for Provisioning'!H228</f>
        <v>0</v>
      </c>
      <c r="H223">
        <f>'Shipment Data for Provisioning'!I228</f>
        <v>0</v>
      </c>
      <c r="I223" t="e">
        <f>VLOOKUP(B223,'Location Data'!$C$5:$G$1004,4,FALSE)</f>
        <v>#N/A</v>
      </c>
      <c r="J223" t="e">
        <f>VLOOKUP(B223,'Location Data'!$C$5:$G$1004,5,FALSE)</f>
        <v>#N/A</v>
      </c>
      <c r="K223" t="e">
        <f>VLOOKUP(C223,'Location Data'!$C$5:$G$1004,4,FALSE)</f>
        <v>#N/A</v>
      </c>
      <c r="L223" t="e">
        <f>VLOOKUP(C223,'Location Data'!$C$5:$G$1004,5,FALSE)</f>
        <v>#N/A</v>
      </c>
    </row>
    <row r="224" spans="1:12" x14ac:dyDescent="0.2">
      <c r="A224">
        <f>'Shipment Data for Provisioning'!B229</f>
        <v>0</v>
      </c>
      <c r="B224">
        <f>'Shipment Data for Provisioning'!C229</f>
        <v>0</v>
      </c>
      <c r="C224">
        <f>'Shipment Data for Provisioning'!D229</f>
        <v>0</v>
      </c>
      <c r="D224">
        <f>'Shipment Data for Provisioning'!E229</f>
        <v>0</v>
      </c>
      <c r="E224">
        <f>'Shipment Data for Provisioning'!F229</f>
        <v>0</v>
      </c>
      <c r="F224">
        <f>'Shipment Data for Provisioning'!G229</f>
        <v>0</v>
      </c>
      <c r="G224">
        <f>'Shipment Data for Provisioning'!H229</f>
        <v>0</v>
      </c>
      <c r="H224">
        <f>'Shipment Data for Provisioning'!I229</f>
        <v>0</v>
      </c>
      <c r="I224" t="e">
        <f>VLOOKUP(B224,'Location Data'!$C$5:$G$1004,4,FALSE)</f>
        <v>#N/A</v>
      </c>
      <c r="J224" t="e">
        <f>VLOOKUP(B224,'Location Data'!$C$5:$G$1004,5,FALSE)</f>
        <v>#N/A</v>
      </c>
      <c r="K224" t="e">
        <f>VLOOKUP(C224,'Location Data'!$C$5:$G$1004,4,FALSE)</f>
        <v>#N/A</v>
      </c>
      <c r="L224" t="e">
        <f>VLOOKUP(C224,'Location Data'!$C$5:$G$1004,5,FALSE)</f>
        <v>#N/A</v>
      </c>
    </row>
    <row r="225" spans="1:12" x14ac:dyDescent="0.2">
      <c r="A225">
        <f>'Shipment Data for Provisioning'!B230</f>
        <v>0</v>
      </c>
      <c r="B225">
        <f>'Shipment Data for Provisioning'!C230</f>
        <v>0</v>
      </c>
      <c r="C225">
        <f>'Shipment Data for Provisioning'!D230</f>
        <v>0</v>
      </c>
      <c r="D225">
        <f>'Shipment Data for Provisioning'!E230</f>
        <v>0</v>
      </c>
      <c r="E225">
        <f>'Shipment Data for Provisioning'!F230</f>
        <v>0</v>
      </c>
      <c r="F225">
        <f>'Shipment Data for Provisioning'!G230</f>
        <v>0</v>
      </c>
      <c r="G225">
        <f>'Shipment Data for Provisioning'!H230</f>
        <v>0</v>
      </c>
      <c r="H225">
        <f>'Shipment Data for Provisioning'!I230</f>
        <v>0</v>
      </c>
      <c r="I225" t="e">
        <f>VLOOKUP(B225,'Location Data'!$C$5:$G$1004,4,FALSE)</f>
        <v>#N/A</v>
      </c>
      <c r="J225" t="e">
        <f>VLOOKUP(B225,'Location Data'!$C$5:$G$1004,5,FALSE)</f>
        <v>#N/A</v>
      </c>
      <c r="K225" t="e">
        <f>VLOOKUP(C225,'Location Data'!$C$5:$G$1004,4,FALSE)</f>
        <v>#N/A</v>
      </c>
      <c r="L225" t="e">
        <f>VLOOKUP(C225,'Location Data'!$C$5:$G$1004,5,FALSE)</f>
        <v>#N/A</v>
      </c>
    </row>
    <row r="226" spans="1:12" x14ac:dyDescent="0.2">
      <c r="A226">
        <f>'Shipment Data for Provisioning'!B231</f>
        <v>0</v>
      </c>
      <c r="B226">
        <f>'Shipment Data for Provisioning'!C231</f>
        <v>0</v>
      </c>
      <c r="C226">
        <f>'Shipment Data for Provisioning'!D231</f>
        <v>0</v>
      </c>
      <c r="D226">
        <f>'Shipment Data for Provisioning'!E231</f>
        <v>0</v>
      </c>
      <c r="E226">
        <f>'Shipment Data for Provisioning'!F231</f>
        <v>0</v>
      </c>
      <c r="F226">
        <f>'Shipment Data for Provisioning'!G231</f>
        <v>0</v>
      </c>
      <c r="G226">
        <f>'Shipment Data for Provisioning'!H231</f>
        <v>0</v>
      </c>
      <c r="H226">
        <f>'Shipment Data for Provisioning'!I231</f>
        <v>0</v>
      </c>
      <c r="I226" t="e">
        <f>VLOOKUP(B226,'Location Data'!$C$5:$G$1004,4,FALSE)</f>
        <v>#N/A</v>
      </c>
      <c r="J226" t="e">
        <f>VLOOKUP(B226,'Location Data'!$C$5:$G$1004,5,FALSE)</f>
        <v>#N/A</v>
      </c>
      <c r="K226" t="e">
        <f>VLOOKUP(C226,'Location Data'!$C$5:$G$1004,4,FALSE)</f>
        <v>#N/A</v>
      </c>
      <c r="L226" t="e">
        <f>VLOOKUP(C226,'Location Data'!$C$5:$G$1004,5,FALSE)</f>
        <v>#N/A</v>
      </c>
    </row>
    <row r="227" spans="1:12" x14ac:dyDescent="0.2">
      <c r="A227">
        <f>'Shipment Data for Provisioning'!B232</f>
        <v>0</v>
      </c>
      <c r="B227">
        <f>'Shipment Data for Provisioning'!C232</f>
        <v>0</v>
      </c>
      <c r="C227">
        <f>'Shipment Data for Provisioning'!D232</f>
        <v>0</v>
      </c>
      <c r="D227">
        <f>'Shipment Data for Provisioning'!E232</f>
        <v>0</v>
      </c>
      <c r="E227">
        <f>'Shipment Data for Provisioning'!F232</f>
        <v>0</v>
      </c>
      <c r="F227">
        <f>'Shipment Data for Provisioning'!G232</f>
        <v>0</v>
      </c>
      <c r="G227">
        <f>'Shipment Data for Provisioning'!H232</f>
        <v>0</v>
      </c>
      <c r="H227">
        <f>'Shipment Data for Provisioning'!I232</f>
        <v>0</v>
      </c>
      <c r="I227" t="e">
        <f>VLOOKUP(B227,'Location Data'!$C$5:$G$1004,4,FALSE)</f>
        <v>#N/A</v>
      </c>
      <c r="J227" t="e">
        <f>VLOOKUP(B227,'Location Data'!$C$5:$G$1004,5,FALSE)</f>
        <v>#N/A</v>
      </c>
      <c r="K227" t="e">
        <f>VLOOKUP(C227,'Location Data'!$C$5:$G$1004,4,FALSE)</f>
        <v>#N/A</v>
      </c>
      <c r="L227" t="e">
        <f>VLOOKUP(C227,'Location Data'!$C$5:$G$1004,5,FALSE)</f>
        <v>#N/A</v>
      </c>
    </row>
    <row r="228" spans="1:12" x14ac:dyDescent="0.2">
      <c r="A228">
        <f>'Shipment Data for Provisioning'!B233</f>
        <v>0</v>
      </c>
      <c r="B228">
        <f>'Shipment Data for Provisioning'!C233</f>
        <v>0</v>
      </c>
      <c r="C228">
        <f>'Shipment Data for Provisioning'!D233</f>
        <v>0</v>
      </c>
      <c r="D228">
        <f>'Shipment Data for Provisioning'!E233</f>
        <v>0</v>
      </c>
      <c r="E228">
        <f>'Shipment Data for Provisioning'!F233</f>
        <v>0</v>
      </c>
      <c r="F228">
        <f>'Shipment Data for Provisioning'!G233</f>
        <v>0</v>
      </c>
      <c r="G228">
        <f>'Shipment Data for Provisioning'!H233</f>
        <v>0</v>
      </c>
      <c r="H228">
        <f>'Shipment Data for Provisioning'!I233</f>
        <v>0</v>
      </c>
      <c r="I228" t="e">
        <f>VLOOKUP(B228,'Location Data'!$C$5:$G$1004,4,FALSE)</f>
        <v>#N/A</v>
      </c>
      <c r="J228" t="e">
        <f>VLOOKUP(B228,'Location Data'!$C$5:$G$1004,5,FALSE)</f>
        <v>#N/A</v>
      </c>
      <c r="K228" t="e">
        <f>VLOOKUP(C228,'Location Data'!$C$5:$G$1004,4,FALSE)</f>
        <v>#N/A</v>
      </c>
      <c r="L228" t="e">
        <f>VLOOKUP(C228,'Location Data'!$C$5:$G$1004,5,FALSE)</f>
        <v>#N/A</v>
      </c>
    </row>
    <row r="229" spans="1:12" x14ac:dyDescent="0.2">
      <c r="A229">
        <f>'Shipment Data for Provisioning'!B234</f>
        <v>0</v>
      </c>
      <c r="B229">
        <f>'Shipment Data for Provisioning'!C234</f>
        <v>0</v>
      </c>
      <c r="C229">
        <f>'Shipment Data for Provisioning'!D234</f>
        <v>0</v>
      </c>
      <c r="D229">
        <f>'Shipment Data for Provisioning'!E234</f>
        <v>0</v>
      </c>
      <c r="E229">
        <f>'Shipment Data for Provisioning'!F234</f>
        <v>0</v>
      </c>
      <c r="F229">
        <f>'Shipment Data for Provisioning'!G234</f>
        <v>0</v>
      </c>
      <c r="G229">
        <f>'Shipment Data for Provisioning'!H234</f>
        <v>0</v>
      </c>
      <c r="H229">
        <f>'Shipment Data for Provisioning'!I234</f>
        <v>0</v>
      </c>
      <c r="I229" t="e">
        <f>VLOOKUP(B229,'Location Data'!$C$5:$G$1004,4,FALSE)</f>
        <v>#N/A</v>
      </c>
      <c r="J229" t="e">
        <f>VLOOKUP(B229,'Location Data'!$C$5:$G$1004,5,FALSE)</f>
        <v>#N/A</v>
      </c>
      <c r="K229" t="e">
        <f>VLOOKUP(C229,'Location Data'!$C$5:$G$1004,4,FALSE)</f>
        <v>#N/A</v>
      </c>
      <c r="L229" t="e">
        <f>VLOOKUP(C229,'Location Data'!$C$5:$G$1004,5,FALSE)</f>
        <v>#N/A</v>
      </c>
    </row>
    <row r="230" spans="1:12" x14ac:dyDescent="0.2">
      <c r="A230">
        <f>'Shipment Data for Provisioning'!B235</f>
        <v>0</v>
      </c>
      <c r="B230">
        <f>'Shipment Data for Provisioning'!C235</f>
        <v>0</v>
      </c>
      <c r="C230">
        <f>'Shipment Data for Provisioning'!D235</f>
        <v>0</v>
      </c>
      <c r="D230">
        <f>'Shipment Data for Provisioning'!E235</f>
        <v>0</v>
      </c>
      <c r="E230">
        <f>'Shipment Data for Provisioning'!F235</f>
        <v>0</v>
      </c>
      <c r="F230">
        <f>'Shipment Data for Provisioning'!G235</f>
        <v>0</v>
      </c>
      <c r="G230">
        <f>'Shipment Data for Provisioning'!H235</f>
        <v>0</v>
      </c>
      <c r="H230">
        <f>'Shipment Data for Provisioning'!I235</f>
        <v>0</v>
      </c>
      <c r="I230" t="e">
        <f>VLOOKUP(B230,'Location Data'!$C$5:$G$1004,4,FALSE)</f>
        <v>#N/A</v>
      </c>
      <c r="J230" t="e">
        <f>VLOOKUP(B230,'Location Data'!$C$5:$G$1004,5,FALSE)</f>
        <v>#N/A</v>
      </c>
      <c r="K230" t="e">
        <f>VLOOKUP(C230,'Location Data'!$C$5:$G$1004,4,FALSE)</f>
        <v>#N/A</v>
      </c>
      <c r="L230" t="e">
        <f>VLOOKUP(C230,'Location Data'!$C$5:$G$1004,5,FALSE)</f>
        <v>#N/A</v>
      </c>
    </row>
    <row r="231" spans="1:12" x14ac:dyDescent="0.2">
      <c r="A231">
        <f>'Shipment Data for Provisioning'!B236</f>
        <v>0</v>
      </c>
      <c r="B231">
        <f>'Shipment Data for Provisioning'!C236</f>
        <v>0</v>
      </c>
      <c r="C231">
        <f>'Shipment Data for Provisioning'!D236</f>
        <v>0</v>
      </c>
      <c r="D231">
        <f>'Shipment Data for Provisioning'!E236</f>
        <v>0</v>
      </c>
      <c r="E231">
        <f>'Shipment Data for Provisioning'!F236</f>
        <v>0</v>
      </c>
      <c r="F231">
        <f>'Shipment Data for Provisioning'!G236</f>
        <v>0</v>
      </c>
      <c r="G231">
        <f>'Shipment Data for Provisioning'!H236</f>
        <v>0</v>
      </c>
      <c r="H231">
        <f>'Shipment Data for Provisioning'!I236</f>
        <v>0</v>
      </c>
      <c r="I231" t="e">
        <f>VLOOKUP(B231,'Location Data'!$C$5:$G$1004,4,FALSE)</f>
        <v>#N/A</v>
      </c>
      <c r="J231" t="e">
        <f>VLOOKUP(B231,'Location Data'!$C$5:$G$1004,5,FALSE)</f>
        <v>#N/A</v>
      </c>
      <c r="K231" t="e">
        <f>VLOOKUP(C231,'Location Data'!$C$5:$G$1004,4,FALSE)</f>
        <v>#N/A</v>
      </c>
      <c r="L231" t="e">
        <f>VLOOKUP(C231,'Location Data'!$C$5:$G$1004,5,FALSE)</f>
        <v>#N/A</v>
      </c>
    </row>
    <row r="232" spans="1:12" x14ac:dyDescent="0.2">
      <c r="A232">
        <f>'Shipment Data for Provisioning'!B237</f>
        <v>0</v>
      </c>
      <c r="B232">
        <f>'Shipment Data for Provisioning'!C237</f>
        <v>0</v>
      </c>
      <c r="C232">
        <f>'Shipment Data for Provisioning'!D237</f>
        <v>0</v>
      </c>
      <c r="D232">
        <f>'Shipment Data for Provisioning'!E237</f>
        <v>0</v>
      </c>
      <c r="E232">
        <f>'Shipment Data for Provisioning'!F237</f>
        <v>0</v>
      </c>
      <c r="F232">
        <f>'Shipment Data for Provisioning'!G237</f>
        <v>0</v>
      </c>
      <c r="G232">
        <f>'Shipment Data for Provisioning'!H237</f>
        <v>0</v>
      </c>
      <c r="H232">
        <f>'Shipment Data for Provisioning'!I237</f>
        <v>0</v>
      </c>
      <c r="I232" t="e">
        <f>VLOOKUP(B232,'Location Data'!$C$5:$G$1004,4,FALSE)</f>
        <v>#N/A</v>
      </c>
      <c r="J232" t="e">
        <f>VLOOKUP(B232,'Location Data'!$C$5:$G$1004,5,FALSE)</f>
        <v>#N/A</v>
      </c>
      <c r="K232" t="e">
        <f>VLOOKUP(C232,'Location Data'!$C$5:$G$1004,4,FALSE)</f>
        <v>#N/A</v>
      </c>
      <c r="L232" t="e">
        <f>VLOOKUP(C232,'Location Data'!$C$5:$G$1004,5,FALSE)</f>
        <v>#N/A</v>
      </c>
    </row>
    <row r="233" spans="1:12" x14ac:dyDescent="0.2">
      <c r="A233">
        <f>'Shipment Data for Provisioning'!B238</f>
        <v>0</v>
      </c>
      <c r="B233">
        <f>'Shipment Data for Provisioning'!C238</f>
        <v>0</v>
      </c>
      <c r="C233">
        <f>'Shipment Data for Provisioning'!D238</f>
        <v>0</v>
      </c>
      <c r="D233">
        <f>'Shipment Data for Provisioning'!E238</f>
        <v>0</v>
      </c>
      <c r="E233">
        <f>'Shipment Data for Provisioning'!F238</f>
        <v>0</v>
      </c>
      <c r="F233">
        <f>'Shipment Data for Provisioning'!G238</f>
        <v>0</v>
      </c>
      <c r="G233">
        <f>'Shipment Data for Provisioning'!H238</f>
        <v>0</v>
      </c>
      <c r="H233">
        <f>'Shipment Data for Provisioning'!I238</f>
        <v>0</v>
      </c>
      <c r="I233" t="e">
        <f>VLOOKUP(B233,'Location Data'!$C$5:$G$1004,4,FALSE)</f>
        <v>#N/A</v>
      </c>
      <c r="J233" t="e">
        <f>VLOOKUP(B233,'Location Data'!$C$5:$G$1004,5,FALSE)</f>
        <v>#N/A</v>
      </c>
      <c r="K233" t="e">
        <f>VLOOKUP(C233,'Location Data'!$C$5:$G$1004,4,FALSE)</f>
        <v>#N/A</v>
      </c>
      <c r="L233" t="e">
        <f>VLOOKUP(C233,'Location Data'!$C$5:$G$1004,5,FALSE)</f>
        <v>#N/A</v>
      </c>
    </row>
    <row r="234" spans="1:12" x14ac:dyDescent="0.2">
      <c r="A234">
        <f>'Shipment Data for Provisioning'!B239</f>
        <v>0</v>
      </c>
      <c r="B234">
        <f>'Shipment Data for Provisioning'!C239</f>
        <v>0</v>
      </c>
      <c r="C234">
        <f>'Shipment Data for Provisioning'!D239</f>
        <v>0</v>
      </c>
      <c r="D234">
        <f>'Shipment Data for Provisioning'!E239</f>
        <v>0</v>
      </c>
      <c r="E234">
        <f>'Shipment Data for Provisioning'!F239</f>
        <v>0</v>
      </c>
      <c r="F234">
        <f>'Shipment Data for Provisioning'!G239</f>
        <v>0</v>
      </c>
      <c r="G234">
        <f>'Shipment Data for Provisioning'!H239</f>
        <v>0</v>
      </c>
      <c r="H234">
        <f>'Shipment Data for Provisioning'!I239</f>
        <v>0</v>
      </c>
      <c r="I234" t="e">
        <f>VLOOKUP(B234,'Location Data'!$C$5:$G$1004,4,FALSE)</f>
        <v>#N/A</v>
      </c>
      <c r="J234" t="e">
        <f>VLOOKUP(B234,'Location Data'!$C$5:$G$1004,5,FALSE)</f>
        <v>#N/A</v>
      </c>
      <c r="K234" t="e">
        <f>VLOOKUP(C234,'Location Data'!$C$5:$G$1004,4,FALSE)</f>
        <v>#N/A</v>
      </c>
      <c r="L234" t="e">
        <f>VLOOKUP(C234,'Location Data'!$C$5:$G$1004,5,FALSE)</f>
        <v>#N/A</v>
      </c>
    </row>
    <row r="235" spans="1:12" x14ac:dyDescent="0.2">
      <c r="A235">
        <f>'Shipment Data for Provisioning'!B240</f>
        <v>0</v>
      </c>
      <c r="B235">
        <f>'Shipment Data for Provisioning'!C240</f>
        <v>0</v>
      </c>
      <c r="C235">
        <f>'Shipment Data for Provisioning'!D240</f>
        <v>0</v>
      </c>
      <c r="D235">
        <f>'Shipment Data for Provisioning'!E240</f>
        <v>0</v>
      </c>
      <c r="E235">
        <f>'Shipment Data for Provisioning'!F240</f>
        <v>0</v>
      </c>
      <c r="F235">
        <f>'Shipment Data for Provisioning'!G240</f>
        <v>0</v>
      </c>
      <c r="G235">
        <f>'Shipment Data for Provisioning'!H240</f>
        <v>0</v>
      </c>
      <c r="H235">
        <f>'Shipment Data for Provisioning'!I240</f>
        <v>0</v>
      </c>
      <c r="I235" t="e">
        <f>VLOOKUP(B235,'Location Data'!$C$5:$G$1004,4,FALSE)</f>
        <v>#N/A</v>
      </c>
      <c r="J235" t="e">
        <f>VLOOKUP(B235,'Location Data'!$C$5:$G$1004,5,FALSE)</f>
        <v>#N/A</v>
      </c>
      <c r="K235" t="e">
        <f>VLOOKUP(C235,'Location Data'!$C$5:$G$1004,4,FALSE)</f>
        <v>#N/A</v>
      </c>
      <c r="L235" t="e">
        <f>VLOOKUP(C235,'Location Data'!$C$5:$G$1004,5,FALSE)</f>
        <v>#N/A</v>
      </c>
    </row>
    <row r="236" spans="1:12" x14ac:dyDescent="0.2">
      <c r="A236">
        <f>'Shipment Data for Provisioning'!B241</f>
        <v>0</v>
      </c>
      <c r="B236">
        <f>'Shipment Data for Provisioning'!C241</f>
        <v>0</v>
      </c>
      <c r="C236">
        <f>'Shipment Data for Provisioning'!D241</f>
        <v>0</v>
      </c>
      <c r="D236">
        <f>'Shipment Data for Provisioning'!E241</f>
        <v>0</v>
      </c>
      <c r="E236">
        <f>'Shipment Data for Provisioning'!F241</f>
        <v>0</v>
      </c>
      <c r="F236">
        <f>'Shipment Data for Provisioning'!G241</f>
        <v>0</v>
      </c>
      <c r="G236">
        <f>'Shipment Data for Provisioning'!H241</f>
        <v>0</v>
      </c>
      <c r="H236">
        <f>'Shipment Data for Provisioning'!I241</f>
        <v>0</v>
      </c>
      <c r="I236" t="e">
        <f>VLOOKUP(B236,'Location Data'!$C$5:$G$1004,4,FALSE)</f>
        <v>#N/A</v>
      </c>
      <c r="J236" t="e">
        <f>VLOOKUP(B236,'Location Data'!$C$5:$G$1004,5,FALSE)</f>
        <v>#N/A</v>
      </c>
      <c r="K236" t="e">
        <f>VLOOKUP(C236,'Location Data'!$C$5:$G$1004,4,FALSE)</f>
        <v>#N/A</v>
      </c>
      <c r="L236" t="e">
        <f>VLOOKUP(C236,'Location Data'!$C$5:$G$1004,5,FALSE)</f>
        <v>#N/A</v>
      </c>
    </row>
    <row r="237" spans="1:12" x14ac:dyDescent="0.2">
      <c r="A237">
        <f>'Shipment Data for Provisioning'!B242</f>
        <v>0</v>
      </c>
      <c r="B237">
        <f>'Shipment Data for Provisioning'!C242</f>
        <v>0</v>
      </c>
      <c r="C237">
        <f>'Shipment Data for Provisioning'!D242</f>
        <v>0</v>
      </c>
      <c r="D237">
        <f>'Shipment Data for Provisioning'!E242</f>
        <v>0</v>
      </c>
      <c r="E237">
        <f>'Shipment Data for Provisioning'!F242</f>
        <v>0</v>
      </c>
      <c r="F237">
        <f>'Shipment Data for Provisioning'!G242</f>
        <v>0</v>
      </c>
      <c r="G237">
        <f>'Shipment Data for Provisioning'!H242</f>
        <v>0</v>
      </c>
      <c r="H237">
        <f>'Shipment Data for Provisioning'!I242</f>
        <v>0</v>
      </c>
      <c r="I237" t="e">
        <f>VLOOKUP(B237,'Location Data'!$C$5:$G$1004,4,FALSE)</f>
        <v>#N/A</v>
      </c>
      <c r="J237" t="e">
        <f>VLOOKUP(B237,'Location Data'!$C$5:$G$1004,5,FALSE)</f>
        <v>#N/A</v>
      </c>
      <c r="K237" t="e">
        <f>VLOOKUP(C237,'Location Data'!$C$5:$G$1004,4,FALSE)</f>
        <v>#N/A</v>
      </c>
      <c r="L237" t="e">
        <f>VLOOKUP(C237,'Location Data'!$C$5:$G$1004,5,FALSE)</f>
        <v>#N/A</v>
      </c>
    </row>
    <row r="238" spans="1:12" x14ac:dyDescent="0.2">
      <c r="A238">
        <f>'Shipment Data for Provisioning'!B243</f>
        <v>0</v>
      </c>
      <c r="B238">
        <f>'Shipment Data for Provisioning'!C243</f>
        <v>0</v>
      </c>
      <c r="C238">
        <f>'Shipment Data for Provisioning'!D243</f>
        <v>0</v>
      </c>
      <c r="D238">
        <f>'Shipment Data for Provisioning'!E243</f>
        <v>0</v>
      </c>
      <c r="E238">
        <f>'Shipment Data for Provisioning'!F243</f>
        <v>0</v>
      </c>
      <c r="F238">
        <f>'Shipment Data for Provisioning'!G243</f>
        <v>0</v>
      </c>
      <c r="G238">
        <f>'Shipment Data for Provisioning'!H243</f>
        <v>0</v>
      </c>
      <c r="H238">
        <f>'Shipment Data for Provisioning'!I243</f>
        <v>0</v>
      </c>
      <c r="I238" t="e">
        <f>VLOOKUP(B238,'Location Data'!$C$5:$G$1004,4,FALSE)</f>
        <v>#N/A</v>
      </c>
      <c r="J238" t="e">
        <f>VLOOKUP(B238,'Location Data'!$C$5:$G$1004,5,FALSE)</f>
        <v>#N/A</v>
      </c>
      <c r="K238" t="e">
        <f>VLOOKUP(C238,'Location Data'!$C$5:$G$1004,4,FALSE)</f>
        <v>#N/A</v>
      </c>
      <c r="L238" t="e">
        <f>VLOOKUP(C238,'Location Data'!$C$5:$G$1004,5,FALSE)</f>
        <v>#N/A</v>
      </c>
    </row>
    <row r="239" spans="1:12" x14ac:dyDescent="0.2">
      <c r="A239">
        <f>'Shipment Data for Provisioning'!B244</f>
        <v>0</v>
      </c>
      <c r="B239">
        <f>'Shipment Data for Provisioning'!C244</f>
        <v>0</v>
      </c>
      <c r="C239">
        <f>'Shipment Data for Provisioning'!D244</f>
        <v>0</v>
      </c>
      <c r="D239">
        <f>'Shipment Data for Provisioning'!E244</f>
        <v>0</v>
      </c>
      <c r="E239">
        <f>'Shipment Data for Provisioning'!F244</f>
        <v>0</v>
      </c>
      <c r="F239">
        <f>'Shipment Data for Provisioning'!G244</f>
        <v>0</v>
      </c>
      <c r="G239">
        <f>'Shipment Data for Provisioning'!H244</f>
        <v>0</v>
      </c>
      <c r="H239">
        <f>'Shipment Data for Provisioning'!I244</f>
        <v>0</v>
      </c>
      <c r="I239" t="e">
        <f>VLOOKUP(B239,'Location Data'!$C$5:$G$1004,4,FALSE)</f>
        <v>#N/A</v>
      </c>
      <c r="J239" t="e">
        <f>VLOOKUP(B239,'Location Data'!$C$5:$G$1004,5,FALSE)</f>
        <v>#N/A</v>
      </c>
      <c r="K239" t="e">
        <f>VLOOKUP(C239,'Location Data'!$C$5:$G$1004,4,FALSE)</f>
        <v>#N/A</v>
      </c>
      <c r="L239" t="e">
        <f>VLOOKUP(C239,'Location Data'!$C$5:$G$1004,5,FALSE)</f>
        <v>#N/A</v>
      </c>
    </row>
    <row r="240" spans="1:12" x14ac:dyDescent="0.2">
      <c r="A240">
        <f>'Shipment Data for Provisioning'!B245</f>
        <v>0</v>
      </c>
      <c r="B240">
        <f>'Shipment Data for Provisioning'!C245</f>
        <v>0</v>
      </c>
      <c r="C240">
        <f>'Shipment Data for Provisioning'!D245</f>
        <v>0</v>
      </c>
      <c r="D240">
        <f>'Shipment Data for Provisioning'!E245</f>
        <v>0</v>
      </c>
      <c r="E240">
        <f>'Shipment Data for Provisioning'!F245</f>
        <v>0</v>
      </c>
      <c r="F240">
        <f>'Shipment Data for Provisioning'!G245</f>
        <v>0</v>
      </c>
      <c r="G240">
        <f>'Shipment Data for Provisioning'!H245</f>
        <v>0</v>
      </c>
      <c r="H240">
        <f>'Shipment Data for Provisioning'!I245</f>
        <v>0</v>
      </c>
      <c r="I240" t="e">
        <f>VLOOKUP(B240,'Location Data'!$C$5:$G$1004,4,FALSE)</f>
        <v>#N/A</v>
      </c>
      <c r="J240" t="e">
        <f>VLOOKUP(B240,'Location Data'!$C$5:$G$1004,5,FALSE)</f>
        <v>#N/A</v>
      </c>
      <c r="K240" t="e">
        <f>VLOOKUP(C240,'Location Data'!$C$5:$G$1004,4,FALSE)</f>
        <v>#N/A</v>
      </c>
      <c r="L240" t="e">
        <f>VLOOKUP(C240,'Location Data'!$C$5:$G$1004,5,FALSE)</f>
        <v>#N/A</v>
      </c>
    </row>
    <row r="241" spans="1:12" x14ac:dyDescent="0.2">
      <c r="A241">
        <f>'Shipment Data for Provisioning'!B246</f>
        <v>0</v>
      </c>
      <c r="B241">
        <f>'Shipment Data for Provisioning'!C246</f>
        <v>0</v>
      </c>
      <c r="C241">
        <f>'Shipment Data for Provisioning'!D246</f>
        <v>0</v>
      </c>
      <c r="D241">
        <f>'Shipment Data for Provisioning'!E246</f>
        <v>0</v>
      </c>
      <c r="E241">
        <f>'Shipment Data for Provisioning'!F246</f>
        <v>0</v>
      </c>
      <c r="F241">
        <f>'Shipment Data for Provisioning'!G246</f>
        <v>0</v>
      </c>
      <c r="G241">
        <f>'Shipment Data for Provisioning'!H246</f>
        <v>0</v>
      </c>
      <c r="H241">
        <f>'Shipment Data for Provisioning'!I246</f>
        <v>0</v>
      </c>
      <c r="I241" t="e">
        <f>VLOOKUP(B241,'Location Data'!$C$5:$G$1004,4,FALSE)</f>
        <v>#N/A</v>
      </c>
      <c r="J241" t="e">
        <f>VLOOKUP(B241,'Location Data'!$C$5:$G$1004,5,FALSE)</f>
        <v>#N/A</v>
      </c>
      <c r="K241" t="e">
        <f>VLOOKUP(C241,'Location Data'!$C$5:$G$1004,4,FALSE)</f>
        <v>#N/A</v>
      </c>
      <c r="L241" t="e">
        <f>VLOOKUP(C241,'Location Data'!$C$5:$G$1004,5,FALSE)</f>
        <v>#N/A</v>
      </c>
    </row>
    <row r="242" spans="1:12" x14ac:dyDescent="0.2">
      <c r="A242">
        <f>'Shipment Data for Provisioning'!B247</f>
        <v>0</v>
      </c>
      <c r="B242">
        <f>'Shipment Data for Provisioning'!C247</f>
        <v>0</v>
      </c>
      <c r="C242">
        <f>'Shipment Data for Provisioning'!D247</f>
        <v>0</v>
      </c>
      <c r="D242">
        <f>'Shipment Data for Provisioning'!E247</f>
        <v>0</v>
      </c>
      <c r="E242">
        <f>'Shipment Data for Provisioning'!F247</f>
        <v>0</v>
      </c>
      <c r="F242">
        <f>'Shipment Data for Provisioning'!G247</f>
        <v>0</v>
      </c>
      <c r="G242">
        <f>'Shipment Data for Provisioning'!H247</f>
        <v>0</v>
      </c>
      <c r="H242">
        <f>'Shipment Data for Provisioning'!I247</f>
        <v>0</v>
      </c>
      <c r="I242" t="e">
        <f>VLOOKUP(B242,'Location Data'!$C$5:$G$1004,4,FALSE)</f>
        <v>#N/A</v>
      </c>
      <c r="J242" t="e">
        <f>VLOOKUP(B242,'Location Data'!$C$5:$G$1004,5,FALSE)</f>
        <v>#N/A</v>
      </c>
      <c r="K242" t="e">
        <f>VLOOKUP(C242,'Location Data'!$C$5:$G$1004,4,FALSE)</f>
        <v>#N/A</v>
      </c>
      <c r="L242" t="e">
        <f>VLOOKUP(C242,'Location Data'!$C$5:$G$1004,5,FALSE)</f>
        <v>#N/A</v>
      </c>
    </row>
    <row r="243" spans="1:12" x14ac:dyDescent="0.2">
      <c r="A243">
        <f>'Shipment Data for Provisioning'!B248</f>
        <v>0</v>
      </c>
      <c r="B243">
        <f>'Shipment Data for Provisioning'!C248</f>
        <v>0</v>
      </c>
      <c r="C243">
        <f>'Shipment Data for Provisioning'!D248</f>
        <v>0</v>
      </c>
      <c r="D243">
        <f>'Shipment Data for Provisioning'!E248</f>
        <v>0</v>
      </c>
      <c r="E243">
        <f>'Shipment Data for Provisioning'!F248</f>
        <v>0</v>
      </c>
      <c r="F243">
        <f>'Shipment Data for Provisioning'!G248</f>
        <v>0</v>
      </c>
      <c r="G243">
        <f>'Shipment Data for Provisioning'!H248</f>
        <v>0</v>
      </c>
      <c r="H243">
        <f>'Shipment Data for Provisioning'!I248</f>
        <v>0</v>
      </c>
      <c r="I243" t="e">
        <f>VLOOKUP(B243,'Location Data'!$C$5:$G$1004,4,FALSE)</f>
        <v>#N/A</v>
      </c>
      <c r="J243" t="e">
        <f>VLOOKUP(B243,'Location Data'!$C$5:$G$1004,5,FALSE)</f>
        <v>#N/A</v>
      </c>
      <c r="K243" t="e">
        <f>VLOOKUP(C243,'Location Data'!$C$5:$G$1004,4,FALSE)</f>
        <v>#N/A</v>
      </c>
      <c r="L243" t="e">
        <f>VLOOKUP(C243,'Location Data'!$C$5:$G$1004,5,FALSE)</f>
        <v>#N/A</v>
      </c>
    </row>
    <row r="244" spans="1:12" x14ac:dyDescent="0.2">
      <c r="A244">
        <f>'Shipment Data for Provisioning'!B249</f>
        <v>0</v>
      </c>
      <c r="B244">
        <f>'Shipment Data for Provisioning'!C249</f>
        <v>0</v>
      </c>
      <c r="C244">
        <f>'Shipment Data for Provisioning'!D249</f>
        <v>0</v>
      </c>
      <c r="D244">
        <f>'Shipment Data for Provisioning'!E249</f>
        <v>0</v>
      </c>
      <c r="E244">
        <f>'Shipment Data for Provisioning'!F249</f>
        <v>0</v>
      </c>
      <c r="F244">
        <f>'Shipment Data for Provisioning'!G249</f>
        <v>0</v>
      </c>
      <c r="G244">
        <f>'Shipment Data for Provisioning'!H249</f>
        <v>0</v>
      </c>
      <c r="H244">
        <f>'Shipment Data for Provisioning'!I249</f>
        <v>0</v>
      </c>
      <c r="I244" t="e">
        <f>VLOOKUP(B244,'Location Data'!$C$5:$G$1004,4,FALSE)</f>
        <v>#N/A</v>
      </c>
      <c r="J244" t="e">
        <f>VLOOKUP(B244,'Location Data'!$C$5:$G$1004,5,FALSE)</f>
        <v>#N/A</v>
      </c>
      <c r="K244" t="e">
        <f>VLOOKUP(C244,'Location Data'!$C$5:$G$1004,4,FALSE)</f>
        <v>#N/A</v>
      </c>
      <c r="L244" t="e">
        <f>VLOOKUP(C244,'Location Data'!$C$5:$G$1004,5,FALSE)</f>
        <v>#N/A</v>
      </c>
    </row>
    <row r="245" spans="1:12" x14ac:dyDescent="0.2">
      <c r="A245">
        <f>'Shipment Data for Provisioning'!B250</f>
        <v>0</v>
      </c>
      <c r="B245">
        <f>'Shipment Data for Provisioning'!C250</f>
        <v>0</v>
      </c>
      <c r="C245">
        <f>'Shipment Data for Provisioning'!D250</f>
        <v>0</v>
      </c>
      <c r="D245">
        <f>'Shipment Data for Provisioning'!E250</f>
        <v>0</v>
      </c>
      <c r="E245">
        <f>'Shipment Data for Provisioning'!F250</f>
        <v>0</v>
      </c>
      <c r="F245">
        <f>'Shipment Data for Provisioning'!G250</f>
        <v>0</v>
      </c>
      <c r="G245">
        <f>'Shipment Data for Provisioning'!H250</f>
        <v>0</v>
      </c>
      <c r="H245">
        <f>'Shipment Data for Provisioning'!I250</f>
        <v>0</v>
      </c>
      <c r="I245" t="e">
        <f>VLOOKUP(B245,'Location Data'!$C$5:$G$1004,4,FALSE)</f>
        <v>#N/A</v>
      </c>
      <c r="J245" t="e">
        <f>VLOOKUP(B245,'Location Data'!$C$5:$G$1004,5,FALSE)</f>
        <v>#N/A</v>
      </c>
      <c r="K245" t="e">
        <f>VLOOKUP(C245,'Location Data'!$C$5:$G$1004,4,FALSE)</f>
        <v>#N/A</v>
      </c>
      <c r="L245" t="e">
        <f>VLOOKUP(C245,'Location Data'!$C$5:$G$1004,5,FALSE)</f>
        <v>#N/A</v>
      </c>
    </row>
    <row r="246" spans="1:12" x14ac:dyDescent="0.2">
      <c r="A246">
        <f>'Shipment Data for Provisioning'!B251</f>
        <v>0</v>
      </c>
      <c r="B246">
        <f>'Shipment Data for Provisioning'!C251</f>
        <v>0</v>
      </c>
      <c r="C246">
        <f>'Shipment Data for Provisioning'!D251</f>
        <v>0</v>
      </c>
      <c r="D246">
        <f>'Shipment Data for Provisioning'!E251</f>
        <v>0</v>
      </c>
      <c r="E246">
        <f>'Shipment Data for Provisioning'!F251</f>
        <v>0</v>
      </c>
      <c r="F246">
        <f>'Shipment Data for Provisioning'!G251</f>
        <v>0</v>
      </c>
      <c r="G246">
        <f>'Shipment Data for Provisioning'!H251</f>
        <v>0</v>
      </c>
      <c r="H246">
        <f>'Shipment Data for Provisioning'!I251</f>
        <v>0</v>
      </c>
      <c r="I246" t="e">
        <f>VLOOKUP(B246,'Location Data'!$C$5:$G$1004,4,FALSE)</f>
        <v>#N/A</v>
      </c>
      <c r="J246" t="e">
        <f>VLOOKUP(B246,'Location Data'!$C$5:$G$1004,5,FALSE)</f>
        <v>#N/A</v>
      </c>
      <c r="K246" t="e">
        <f>VLOOKUP(C246,'Location Data'!$C$5:$G$1004,4,FALSE)</f>
        <v>#N/A</v>
      </c>
      <c r="L246" t="e">
        <f>VLOOKUP(C246,'Location Data'!$C$5:$G$1004,5,FALSE)</f>
        <v>#N/A</v>
      </c>
    </row>
    <row r="247" spans="1:12" x14ac:dyDescent="0.2">
      <c r="A247">
        <f>'Shipment Data for Provisioning'!B252</f>
        <v>0</v>
      </c>
      <c r="B247">
        <f>'Shipment Data for Provisioning'!C252</f>
        <v>0</v>
      </c>
      <c r="C247">
        <f>'Shipment Data for Provisioning'!D252</f>
        <v>0</v>
      </c>
      <c r="D247">
        <f>'Shipment Data for Provisioning'!E252</f>
        <v>0</v>
      </c>
      <c r="E247">
        <f>'Shipment Data for Provisioning'!F252</f>
        <v>0</v>
      </c>
      <c r="F247">
        <f>'Shipment Data for Provisioning'!G252</f>
        <v>0</v>
      </c>
      <c r="G247">
        <f>'Shipment Data for Provisioning'!H252</f>
        <v>0</v>
      </c>
      <c r="H247">
        <f>'Shipment Data for Provisioning'!I252</f>
        <v>0</v>
      </c>
      <c r="I247" t="e">
        <f>VLOOKUP(B247,'Location Data'!$C$5:$G$1004,4,FALSE)</f>
        <v>#N/A</v>
      </c>
      <c r="J247" t="e">
        <f>VLOOKUP(B247,'Location Data'!$C$5:$G$1004,5,FALSE)</f>
        <v>#N/A</v>
      </c>
      <c r="K247" t="e">
        <f>VLOOKUP(C247,'Location Data'!$C$5:$G$1004,4,FALSE)</f>
        <v>#N/A</v>
      </c>
      <c r="L247" t="e">
        <f>VLOOKUP(C247,'Location Data'!$C$5:$G$1004,5,FALSE)</f>
        <v>#N/A</v>
      </c>
    </row>
    <row r="248" spans="1:12" x14ac:dyDescent="0.2">
      <c r="A248">
        <f>'Shipment Data for Provisioning'!B253</f>
        <v>0</v>
      </c>
      <c r="B248">
        <f>'Shipment Data for Provisioning'!C253</f>
        <v>0</v>
      </c>
      <c r="C248">
        <f>'Shipment Data for Provisioning'!D253</f>
        <v>0</v>
      </c>
      <c r="D248">
        <f>'Shipment Data for Provisioning'!E253</f>
        <v>0</v>
      </c>
      <c r="E248">
        <f>'Shipment Data for Provisioning'!F253</f>
        <v>0</v>
      </c>
      <c r="F248">
        <f>'Shipment Data for Provisioning'!G253</f>
        <v>0</v>
      </c>
      <c r="G248">
        <f>'Shipment Data for Provisioning'!H253</f>
        <v>0</v>
      </c>
      <c r="H248">
        <f>'Shipment Data for Provisioning'!I253</f>
        <v>0</v>
      </c>
      <c r="I248" t="e">
        <f>VLOOKUP(B248,'Location Data'!$C$5:$G$1004,4,FALSE)</f>
        <v>#N/A</v>
      </c>
      <c r="J248" t="e">
        <f>VLOOKUP(B248,'Location Data'!$C$5:$G$1004,5,FALSE)</f>
        <v>#N/A</v>
      </c>
      <c r="K248" t="e">
        <f>VLOOKUP(C248,'Location Data'!$C$5:$G$1004,4,FALSE)</f>
        <v>#N/A</v>
      </c>
      <c r="L248" t="e">
        <f>VLOOKUP(C248,'Location Data'!$C$5:$G$1004,5,FALSE)</f>
        <v>#N/A</v>
      </c>
    </row>
    <row r="249" spans="1:12" x14ac:dyDescent="0.2">
      <c r="A249">
        <f>'Shipment Data for Provisioning'!B254</f>
        <v>0</v>
      </c>
      <c r="B249">
        <f>'Shipment Data for Provisioning'!C254</f>
        <v>0</v>
      </c>
      <c r="C249">
        <f>'Shipment Data for Provisioning'!D254</f>
        <v>0</v>
      </c>
      <c r="D249">
        <f>'Shipment Data for Provisioning'!E254</f>
        <v>0</v>
      </c>
      <c r="E249">
        <f>'Shipment Data for Provisioning'!F254</f>
        <v>0</v>
      </c>
      <c r="F249">
        <f>'Shipment Data for Provisioning'!G254</f>
        <v>0</v>
      </c>
      <c r="G249">
        <f>'Shipment Data for Provisioning'!H254</f>
        <v>0</v>
      </c>
      <c r="H249">
        <f>'Shipment Data for Provisioning'!I254</f>
        <v>0</v>
      </c>
      <c r="I249" t="e">
        <f>VLOOKUP(B249,'Location Data'!$C$5:$G$1004,4,FALSE)</f>
        <v>#N/A</v>
      </c>
      <c r="J249" t="e">
        <f>VLOOKUP(B249,'Location Data'!$C$5:$G$1004,5,FALSE)</f>
        <v>#N/A</v>
      </c>
      <c r="K249" t="e">
        <f>VLOOKUP(C249,'Location Data'!$C$5:$G$1004,4,FALSE)</f>
        <v>#N/A</v>
      </c>
      <c r="L249" t="e">
        <f>VLOOKUP(C249,'Location Data'!$C$5:$G$1004,5,FALSE)</f>
        <v>#N/A</v>
      </c>
    </row>
    <row r="250" spans="1:12" x14ac:dyDescent="0.2">
      <c r="A250">
        <f>'Shipment Data for Provisioning'!B255</f>
        <v>0</v>
      </c>
      <c r="B250">
        <f>'Shipment Data for Provisioning'!C255</f>
        <v>0</v>
      </c>
      <c r="C250">
        <f>'Shipment Data for Provisioning'!D255</f>
        <v>0</v>
      </c>
      <c r="D250">
        <f>'Shipment Data for Provisioning'!E255</f>
        <v>0</v>
      </c>
      <c r="E250">
        <f>'Shipment Data for Provisioning'!F255</f>
        <v>0</v>
      </c>
      <c r="F250">
        <f>'Shipment Data for Provisioning'!G255</f>
        <v>0</v>
      </c>
      <c r="G250">
        <f>'Shipment Data for Provisioning'!H255</f>
        <v>0</v>
      </c>
      <c r="H250">
        <f>'Shipment Data for Provisioning'!I255</f>
        <v>0</v>
      </c>
      <c r="I250" t="e">
        <f>VLOOKUP(B250,'Location Data'!$C$5:$G$1004,4,FALSE)</f>
        <v>#N/A</v>
      </c>
      <c r="J250" t="e">
        <f>VLOOKUP(B250,'Location Data'!$C$5:$G$1004,5,FALSE)</f>
        <v>#N/A</v>
      </c>
      <c r="K250" t="e">
        <f>VLOOKUP(C250,'Location Data'!$C$5:$G$1004,4,FALSE)</f>
        <v>#N/A</v>
      </c>
      <c r="L250" t="e">
        <f>VLOOKUP(C250,'Location Data'!$C$5:$G$1004,5,FALSE)</f>
        <v>#N/A</v>
      </c>
    </row>
    <row r="251" spans="1:12" x14ac:dyDescent="0.2">
      <c r="A251">
        <f>'Shipment Data for Provisioning'!B256</f>
        <v>0</v>
      </c>
      <c r="B251">
        <f>'Shipment Data for Provisioning'!C256</f>
        <v>0</v>
      </c>
      <c r="C251">
        <f>'Shipment Data for Provisioning'!D256</f>
        <v>0</v>
      </c>
      <c r="D251">
        <f>'Shipment Data for Provisioning'!E256</f>
        <v>0</v>
      </c>
      <c r="E251">
        <f>'Shipment Data for Provisioning'!F256</f>
        <v>0</v>
      </c>
      <c r="F251">
        <f>'Shipment Data for Provisioning'!G256</f>
        <v>0</v>
      </c>
      <c r="G251">
        <f>'Shipment Data for Provisioning'!H256</f>
        <v>0</v>
      </c>
      <c r="H251">
        <f>'Shipment Data for Provisioning'!I256</f>
        <v>0</v>
      </c>
      <c r="I251" t="e">
        <f>VLOOKUP(B251,'Location Data'!$C$5:$G$1004,4,FALSE)</f>
        <v>#N/A</v>
      </c>
      <c r="J251" t="e">
        <f>VLOOKUP(B251,'Location Data'!$C$5:$G$1004,5,FALSE)</f>
        <v>#N/A</v>
      </c>
      <c r="K251" t="e">
        <f>VLOOKUP(C251,'Location Data'!$C$5:$G$1004,4,FALSE)</f>
        <v>#N/A</v>
      </c>
      <c r="L251" t="e">
        <f>VLOOKUP(C251,'Location Data'!$C$5:$G$1004,5,FALSE)</f>
        <v>#N/A</v>
      </c>
    </row>
    <row r="252" spans="1:12" x14ac:dyDescent="0.2">
      <c r="A252">
        <f>'Shipment Data for Provisioning'!B257</f>
        <v>0</v>
      </c>
      <c r="B252">
        <f>'Shipment Data for Provisioning'!C257</f>
        <v>0</v>
      </c>
      <c r="C252">
        <f>'Shipment Data for Provisioning'!D257</f>
        <v>0</v>
      </c>
      <c r="D252">
        <f>'Shipment Data for Provisioning'!E257</f>
        <v>0</v>
      </c>
      <c r="E252">
        <f>'Shipment Data for Provisioning'!F257</f>
        <v>0</v>
      </c>
      <c r="F252">
        <f>'Shipment Data for Provisioning'!G257</f>
        <v>0</v>
      </c>
      <c r="G252">
        <f>'Shipment Data for Provisioning'!H257</f>
        <v>0</v>
      </c>
      <c r="H252">
        <f>'Shipment Data for Provisioning'!I257</f>
        <v>0</v>
      </c>
      <c r="I252" t="e">
        <f>VLOOKUP(B252,'Location Data'!$C$5:$G$1004,4,FALSE)</f>
        <v>#N/A</v>
      </c>
      <c r="J252" t="e">
        <f>VLOOKUP(B252,'Location Data'!$C$5:$G$1004,5,FALSE)</f>
        <v>#N/A</v>
      </c>
      <c r="K252" t="e">
        <f>VLOOKUP(C252,'Location Data'!$C$5:$G$1004,4,FALSE)</f>
        <v>#N/A</v>
      </c>
      <c r="L252" t="e">
        <f>VLOOKUP(C252,'Location Data'!$C$5:$G$1004,5,FALSE)</f>
        <v>#N/A</v>
      </c>
    </row>
    <row r="253" spans="1:12" x14ac:dyDescent="0.2">
      <c r="A253">
        <f>'Shipment Data for Provisioning'!B258</f>
        <v>0</v>
      </c>
      <c r="B253">
        <f>'Shipment Data for Provisioning'!C258</f>
        <v>0</v>
      </c>
      <c r="C253">
        <f>'Shipment Data for Provisioning'!D258</f>
        <v>0</v>
      </c>
      <c r="D253">
        <f>'Shipment Data for Provisioning'!E258</f>
        <v>0</v>
      </c>
      <c r="E253">
        <f>'Shipment Data for Provisioning'!F258</f>
        <v>0</v>
      </c>
      <c r="F253">
        <f>'Shipment Data for Provisioning'!G258</f>
        <v>0</v>
      </c>
      <c r="G253">
        <f>'Shipment Data for Provisioning'!H258</f>
        <v>0</v>
      </c>
      <c r="H253">
        <f>'Shipment Data for Provisioning'!I258</f>
        <v>0</v>
      </c>
      <c r="I253" t="e">
        <f>VLOOKUP(B253,'Location Data'!$C$5:$G$1004,4,FALSE)</f>
        <v>#N/A</v>
      </c>
      <c r="J253" t="e">
        <f>VLOOKUP(B253,'Location Data'!$C$5:$G$1004,5,FALSE)</f>
        <v>#N/A</v>
      </c>
      <c r="K253" t="e">
        <f>VLOOKUP(C253,'Location Data'!$C$5:$G$1004,4,FALSE)</f>
        <v>#N/A</v>
      </c>
      <c r="L253" t="e">
        <f>VLOOKUP(C253,'Location Data'!$C$5:$G$1004,5,FALSE)</f>
        <v>#N/A</v>
      </c>
    </row>
    <row r="254" spans="1:12" x14ac:dyDescent="0.2">
      <c r="A254">
        <f>'Shipment Data for Provisioning'!B259</f>
        <v>0</v>
      </c>
      <c r="B254">
        <f>'Shipment Data for Provisioning'!C259</f>
        <v>0</v>
      </c>
      <c r="C254">
        <f>'Shipment Data for Provisioning'!D259</f>
        <v>0</v>
      </c>
      <c r="D254">
        <f>'Shipment Data for Provisioning'!E259</f>
        <v>0</v>
      </c>
      <c r="E254">
        <f>'Shipment Data for Provisioning'!F259</f>
        <v>0</v>
      </c>
      <c r="F254">
        <f>'Shipment Data for Provisioning'!G259</f>
        <v>0</v>
      </c>
      <c r="G254">
        <f>'Shipment Data for Provisioning'!H259</f>
        <v>0</v>
      </c>
      <c r="H254">
        <f>'Shipment Data for Provisioning'!I259</f>
        <v>0</v>
      </c>
      <c r="I254" t="e">
        <f>VLOOKUP(B254,'Location Data'!$C$5:$G$1004,4,FALSE)</f>
        <v>#N/A</v>
      </c>
      <c r="J254" t="e">
        <f>VLOOKUP(B254,'Location Data'!$C$5:$G$1004,5,FALSE)</f>
        <v>#N/A</v>
      </c>
      <c r="K254" t="e">
        <f>VLOOKUP(C254,'Location Data'!$C$5:$G$1004,4,FALSE)</f>
        <v>#N/A</v>
      </c>
      <c r="L254" t="e">
        <f>VLOOKUP(C254,'Location Data'!$C$5:$G$1004,5,FALSE)</f>
        <v>#N/A</v>
      </c>
    </row>
    <row r="255" spans="1:12" x14ac:dyDescent="0.2">
      <c r="A255">
        <f>'Shipment Data for Provisioning'!B260</f>
        <v>0</v>
      </c>
      <c r="B255">
        <f>'Shipment Data for Provisioning'!C260</f>
        <v>0</v>
      </c>
      <c r="C255">
        <f>'Shipment Data for Provisioning'!D260</f>
        <v>0</v>
      </c>
      <c r="D255">
        <f>'Shipment Data for Provisioning'!E260</f>
        <v>0</v>
      </c>
      <c r="E255">
        <f>'Shipment Data for Provisioning'!F260</f>
        <v>0</v>
      </c>
      <c r="F255">
        <f>'Shipment Data for Provisioning'!G260</f>
        <v>0</v>
      </c>
      <c r="G255">
        <f>'Shipment Data for Provisioning'!H260</f>
        <v>0</v>
      </c>
      <c r="H255">
        <f>'Shipment Data for Provisioning'!I260</f>
        <v>0</v>
      </c>
      <c r="I255" t="e">
        <f>VLOOKUP(B255,'Location Data'!$C$5:$G$1004,4,FALSE)</f>
        <v>#N/A</v>
      </c>
      <c r="J255" t="e">
        <f>VLOOKUP(B255,'Location Data'!$C$5:$G$1004,5,FALSE)</f>
        <v>#N/A</v>
      </c>
      <c r="K255" t="e">
        <f>VLOOKUP(C255,'Location Data'!$C$5:$G$1004,4,FALSE)</f>
        <v>#N/A</v>
      </c>
      <c r="L255" t="e">
        <f>VLOOKUP(C255,'Location Data'!$C$5:$G$1004,5,FALSE)</f>
        <v>#N/A</v>
      </c>
    </row>
    <row r="256" spans="1:12" x14ac:dyDescent="0.2">
      <c r="A256">
        <f>'Shipment Data for Provisioning'!B261</f>
        <v>0</v>
      </c>
      <c r="B256">
        <f>'Shipment Data for Provisioning'!C261</f>
        <v>0</v>
      </c>
      <c r="C256">
        <f>'Shipment Data for Provisioning'!D261</f>
        <v>0</v>
      </c>
      <c r="D256">
        <f>'Shipment Data for Provisioning'!E261</f>
        <v>0</v>
      </c>
      <c r="E256">
        <f>'Shipment Data for Provisioning'!F261</f>
        <v>0</v>
      </c>
      <c r="F256">
        <f>'Shipment Data for Provisioning'!G261</f>
        <v>0</v>
      </c>
      <c r="G256">
        <f>'Shipment Data for Provisioning'!H261</f>
        <v>0</v>
      </c>
      <c r="H256">
        <f>'Shipment Data for Provisioning'!I261</f>
        <v>0</v>
      </c>
      <c r="I256" t="e">
        <f>VLOOKUP(B256,'Location Data'!$C$5:$G$1004,4,FALSE)</f>
        <v>#N/A</v>
      </c>
      <c r="J256" t="e">
        <f>VLOOKUP(B256,'Location Data'!$C$5:$G$1004,5,FALSE)</f>
        <v>#N/A</v>
      </c>
      <c r="K256" t="e">
        <f>VLOOKUP(C256,'Location Data'!$C$5:$G$1004,4,FALSE)</f>
        <v>#N/A</v>
      </c>
      <c r="L256" t="e">
        <f>VLOOKUP(C256,'Location Data'!$C$5:$G$1004,5,FALSE)</f>
        <v>#N/A</v>
      </c>
    </row>
    <row r="257" spans="1:12" x14ac:dyDescent="0.2">
      <c r="A257">
        <f>'Shipment Data for Provisioning'!B262</f>
        <v>0</v>
      </c>
      <c r="B257">
        <f>'Shipment Data for Provisioning'!C262</f>
        <v>0</v>
      </c>
      <c r="C257">
        <f>'Shipment Data for Provisioning'!D262</f>
        <v>0</v>
      </c>
      <c r="D257">
        <f>'Shipment Data for Provisioning'!E262</f>
        <v>0</v>
      </c>
      <c r="E257">
        <f>'Shipment Data for Provisioning'!F262</f>
        <v>0</v>
      </c>
      <c r="F257">
        <f>'Shipment Data for Provisioning'!G262</f>
        <v>0</v>
      </c>
      <c r="G257">
        <f>'Shipment Data for Provisioning'!H262</f>
        <v>0</v>
      </c>
      <c r="H257">
        <f>'Shipment Data for Provisioning'!I262</f>
        <v>0</v>
      </c>
      <c r="I257" t="e">
        <f>VLOOKUP(B257,'Location Data'!$C$5:$G$1004,4,FALSE)</f>
        <v>#N/A</v>
      </c>
      <c r="J257" t="e">
        <f>VLOOKUP(B257,'Location Data'!$C$5:$G$1004,5,FALSE)</f>
        <v>#N/A</v>
      </c>
      <c r="K257" t="e">
        <f>VLOOKUP(C257,'Location Data'!$C$5:$G$1004,4,FALSE)</f>
        <v>#N/A</v>
      </c>
      <c r="L257" t="e">
        <f>VLOOKUP(C257,'Location Data'!$C$5:$G$1004,5,FALSE)</f>
        <v>#N/A</v>
      </c>
    </row>
    <row r="258" spans="1:12" x14ac:dyDescent="0.2">
      <c r="A258">
        <f>'Shipment Data for Provisioning'!B263</f>
        <v>0</v>
      </c>
      <c r="B258">
        <f>'Shipment Data for Provisioning'!C263</f>
        <v>0</v>
      </c>
      <c r="C258">
        <f>'Shipment Data for Provisioning'!D263</f>
        <v>0</v>
      </c>
      <c r="D258">
        <f>'Shipment Data for Provisioning'!E263</f>
        <v>0</v>
      </c>
      <c r="E258">
        <f>'Shipment Data for Provisioning'!F263</f>
        <v>0</v>
      </c>
      <c r="F258">
        <f>'Shipment Data for Provisioning'!G263</f>
        <v>0</v>
      </c>
      <c r="G258">
        <f>'Shipment Data for Provisioning'!H263</f>
        <v>0</v>
      </c>
      <c r="H258">
        <f>'Shipment Data for Provisioning'!I263</f>
        <v>0</v>
      </c>
      <c r="I258" t="e">
        <f>VLOOKUP(B258,'Location Data'!$C$5:$G$1004,4,FALSE)</f>
        <v>#N/A</v>
      </c>
      <c r="J258" t="e">
        <f>VLOOKUP(B258,'Location Data'!$C$5:$G$1004,5,FALSE)</f>
        <v>#N/A</v>
      </c>
      <c r="K258" t="e">
        <f>VLOOKUP(C258,'Location Data'!$C$5:$G$1004,4,FALSE)</f>
        <v>#N/A</v>
      </c>
      <c r="L258" t="e">
        <f>VLOOKUP(C258,'Location Data'!$C$5:$G$1004,5,FALSE)</f>
        <v>#N/A</v>
      </c>
    </row>
    <row r="259" spans="1:12" x14ac:dyDescent="0.2">
      <c r="A259">
        <f>'Shipment Data for Provisioning'!B264</f>
        <v>0</v>
      </c>
      <c r="B259">
        <f>'Shipment Data for Provisioning'!C264</f>
        <v>0</v>
      </c>
      <c r="C259">
        <f>'Shipment Data for Provisioning'!D264</f>
        <v>0</v>
      </c>
      <c r="D259">
        <f>'Shipment Data for Provisioning'!E264</f>
        <v>0</v>
      </c>
      <c r="E259">
        <f>'Shipment Data for Provisioning'!F264</f>
        <v>0</v>
      </c>
      <c r="F259">
        <f>'Shipment Data for Provisioning'!G264</f>
        <v>0</v>
      </c>
      <c r="G259">
        <f>'Shipment Data for Provisioning'!H264</f>
        <v>0</v>
      </c>
      <c r="H259">
        <f>'Shipment Data for Provisioning'!I264</f>
        <v>0</v>
      </c>
      <c r="I259" t="e">
        <f>VLOOKUP(B259,'Location Data'!$C$5:$G$1004,4,FALSE)</f>
        <v>#N/A</v>
      </c>
      <c r="J259" t="e">
        <f>VLOOKUP(B259,'Location Data'!$C$5:$G$1004,5,FALSE)</f>
        <v>#N/A</v>
      </c>
      <c r="K259" t="e">
        <f>VLOOKUP(C259,'Location Data'!$C$5:$G$1004,4,FALSE)</f>
        <v>#N/A</v>
      </c>
      <c r="L259" t="e">
        <f>VLOOKUP(C259,'Location Data'!$C$5:$G$1004,5,FALSE)</f>
        <v>#N/A</v>
      </c>
    </row>
    <row r="260" spans="1:12" x14ac:dyDescent="0.2">
      <c r="A260">
        <f>'Shipment Data for Provisioning'!B265</f>
        <v>0</v>
      </c>
      <c r="B260">
        <f>'Shipment Data for Provisioning'!C265</f>
        <v>0</v>
      </c>
      <c r="C260">
        <f>'Shipment Data for Provisioning'!D265</f>
        <v>0</v>
      </c>
      <c r="D260">
        <f>'Shipment Data for Provisioning'!E265</f>
        <v>0</v>
      </c>
      <c r="E260">
        <f>'Shipment Data for Provisioning'!F265</f>
        <v>0</v>
      </c>
      <c r="F260">
        <f>'Shipment Data for Provisioning'!G265</f>
        <v>0</v>
      </c>
      <c r="G260">
        <f>'Shipment Data for Provisioning'!H265</f>
        <v>0</v>
      </c>
      <c r="H260">
        <f>'Shipment Data for Provisioning'!I265</f>
        <v>0</v>
      </c>
      <c r="I260" t="e">
        <f>VLOOKUP(B260,'Location Data'!$C$5:$G$1004,4,FALSE)</f>
        <v>#N/A</v>
      </c>
      <c r="J260" t="e">
        <f>VLOOKUP(B260,'Location Data'!$C$5:$G$1004,5,FALSE)</f>
        <v>#N/A</v>
      </c>
      <c r="K260" t="e">
        <f>VLOOKUP(C260,'Location Data'!$C$5:$G$1004,4,FALSE)</f>
        <v>#N/A</v>
      </c>
      <c r="L260" t="e">
        <f>VLOOKUP(C260,'Location Data'!$C$5:$G$1004,5,FALSE)</f>
        <v>#N/A</v>
      </c>
    </row>
    <row r="261" spans="1:12" x14ac:dyDescent="0.2">
      <c r="A261">
        <f>'Shipment Data for Provisioning'!B266</f>
        <v>0</v>
      </c>
      <c r="B261">
        <f>'Shipment Data for Provisioning'!C266</f>
        <v>0</v>
      </c>
      <c r="C261">
        <f>'Shipment Data for Provisioning'!D266</f>
        <v>0</v>
      </c>
      <c r="D261">
        <f>'Shipment Data for Provisioning'!E266</f>
        <v>0</v>
      </c>
      <c r="E261">
        <f>'Shipment Data for Provisioning'!F266</f>
        <v>0</v>
      </c>
      <c r="F261">
        <f>'Shipment Data for Provisioning'!G266</f>
        <v>0</v>
      </c>
      <c r="G261">
        <f>'Shipment Data for Provisioning'!H266</f>
        <v>0</v>
      </c>
      <c r="H261">
        <f>'Shipment Data for Provisioning'!I266</f>
        <v>0</v>
      </c>
      <c r="I261" t="e">
        <f>VLOOKUP(B261,'Location Data'!$C$5:$G$1004,4,FALSE)</f>
        <v>#N/A</v>
      </c>
      <c r="J261" t="e">
        <f>VLOOKUP(B261,'Location Data'!$C$5:$G$1004,5,FALSE)</f>
        <v>#N/A</v>
      </c>
      <c r="K261" t="e">
        <f>VLOOKUP(C261,'Location Data'!$C$5:$G$1004,4,FALSE)</f>
        <v>#N/A</v>
      </c>
      <c r="L261" t="e">
        <f>VLOOKUP(C261,'Location Data'!$C$5:$G$1004,5,FALSE)</f>
        <v>#N/A</v>
      </c>
    </row>
    <row r="262" spans="1:12" x14ac:dyDescent="0.2">
      <c r="A262">
        <f>'Shipment Data for Provisioning'!B267</f>
        <v>0</v>
      </c>
      <c r="B262">
        <f>'Shipment Data for Provisioning'!C267</f>
        <v>0</v>
      </c>
      <c r="C262">
        <f>'Shipment Data for Provisioning'!D267</f>
        <v>0</v>
      </c>
      <c r="D262">
        <f>'Shipment Data for Provisioning'!E267</f>
        <v>0</v>
      </c>
      <c r="E262">
        <f>'Shipment Data for Provisioning'!F267</f>
        <v>0</v>
      </c>
      <c r="F262">
        <f>'Shipment Data for Provisioning'!G267</f>
        <v>0</v>
      </c>
      <c r="G262">
        <f>'Shipment Data for Provisioning'!H267</f>
        <v>0</v>
      </c>
      <c r="H262">
        <f>'Shipment Data for Provisioning'!I267</f>
        <v>0</v>
      </c>
      <c r="I262" t="e">
        <f>VLOOKUP(B262,'Location Data'!$C$5:$G$1004,4,FALSE)</f>
        <v>#N/A</v>
      </c>
      <c r="J262" t="e">
        <f>VLOOKUP(B262,'Location Data'!$C$5:$G$1004,5,FALSE)</f>
        <v>#N/A</v>
      </c>
      <c r="K262" t="e">
        <f>VLOOKUP(C262,'Location Data'!$C$5:$G$1004,4,FALSE)</f>
        <v>#N/A</v>
      </c>
      <c r="L262" t="e">
        <f>VLOOKUP(C262,'Location Data'!$C$5:$G$1004,5,FALSE)</f>
        <v>#N/A</v>
      </c>
    </row>
    <row r="263" spans="1:12" x14ac:dyDescent="0.2">
      <c r="A263">
        <f>'Shipment Data for Provisioning'!B268</f>
        <v>0</v>
      </c>
      <c r="B263">
        <f>'Shipment Data for Provisioning'!C268</f>
        <v>0</v>
      </c>
      <c r="C263">
        <f>'Shipment Data for Provisioning'!D268</f>
        <v>0</v>
      </c>
      <c r="D263">
        <f>'Shipment Data for Provisioning'!E268</f>
        <v>0</v>
      </c>
      <c r="E263">
        <f>'Shipment Data for Provisioning'!F268</f>
        <v>0</v>
      </c>
      <c r="F263">
        <f>'Shipment Data for Provisioning'!G268</f>
        <v>0</v>
      </c>
      <c r="G263">
        <f>'Shipment Data for Provisioning'!H268</f>
        <v>0</v>
      </c>
      <c r="H263">
        <f>'Shipment Data for Provisioning'!I268</f>
        <v>0</v>
      </c>
      <c r="I263" t="e">
        <f>VLOOKUP(B263,'Location Data'!$C$5:$G$1004,4,FALSE)</f>
        <v>#N/A</v>
      </c>
      <c r="J263" t="e">
        <f>VLOOKUP(B263,'Location Data'!$C$5:$G$1004,5,FALSE)</f>
        <v>#N/A</v>
      </c>
      <c r="K263" t="e">
        <f>VLOOKUP(C263,'Location Data'!$C$5:$G$1004,4,FALSE)</f>
        <v>#N/A</v>
      </c>
      <c r="L263" t="e">
        <f>VLOOKUP(C263,'Location Data'!$C$5:$G$1004,5,FALSE)</f>
        <v>#N/A</v>
      </c>
    </row>
    <row r="264" spans="1:12" x14ac:dyDescent="0.2">
      <c r="A264">
        <f>'Shipment Data for Provisioning'!B269</f>
        <v>0</v>
      </c>
      <c r="B264">
        <f>'Shipment Data for Provisioning'!C269</f>
        <v>0</v>
      </c>
      <c r="C264">
        <f>'Shipment Data for Provisioning'!D269</f>
        <v>0</v>
      </c>
      <c r="D264">
        <f>'Shipment Data for Provisioning'!E269</f>
        <v>0</v>
      </c>
      <c r="E264">
        <f>'Shipment Data for Provisioning'!F269</f>
        <v>0</v>
      </c>
      <c r="F264">
        <f>'Shipment Data for Provisioning'!G269</f>
        <v>0</v>
      </c>
      <c r="G264">
        <f>'Shipment Data for Provisioning'!H269</f>
        <v>0</v>
      </c>
      <c r="H264">
        <f>'Shipment Data for Provisioning'!I269</f>
        <v>0</v>
      </c>
      <c r="I264" t="e">
        <f>VLOOKUP(B264,'Location Data'!$C$5:$G$1004,4,FALSE)</f>
        <v>#N/A</v>
      </c>
      <c r="J264" t="e">
        <f>VLOOKUP(B264,'Location Data'!$C$5:$G$1004,5,FALSE)</f>
        <v>#N/A</v>
      </c>
      <c r="K264" t="e">
        <f>VLOOKUP(C264,'Location Data'!$C$5:$G$1004,4,FALSE)</f>
        <v>#N/A</v>
      </c>
      <c r="L264" t="e">
        <f>VLOOKUP(C264,'Location Data'!$C$5:$G$1004,5,FALSE)</f>
        <v>#N/A</v>
      </c>
    </row>
    <row r="265" spans="1:12" x14ac:dyDescent="0.2">
      <c r="A265">
        <f>'Shipment Data for Provisioning'!B270</f>
        <v>0</v>
      </c>
      <c r="B265">
        <f>'Shipment Data for Provisioning'!C270</f>
        <v>0</v>
      </c>
      <c r="C265">
        <f>'Shipment Data for Provisioning'!D270</f>
        <v>0</v>
      </c>
      <c r="D265">
        <f>'Shipment Data for Provisioning'!E270</f>
        <v>0</v>
      </c>
      <c r="E265">
        <f>'Shipment Data for Provisioning'!F270</f>
        <v>0</v>
      </c>
      <c r="F265">
        <f>'Shipment Data for Provisioning'!G270</f>
        <v>0</v>
      </c>
      <c r="G265">
        <f>'Shipment Data for Provisioning'!H270</f>
        <v>0</v>
      </c>
      <c r="H265">
        <f>'Shipment Data for Provisioning'!I270</f>
        <v>0</v>
      </c>
      <c r="I265" t="e">
        <f>VLOOKUP(B265,'Location Data'!$C$5:$G$1004,4,FALSE)</f>
        <v>#N/A</v>
      </c>
      <c r="J265" t="e">
        <f>VLOOKUP(B265,'Location Data'!$C$5:$G$1004,5,FALSE)</f>
        <v>#N/A</v>
      </c>
      <c r="K265" t="e">
        <f>VLOOKUP(C265,'Location Data'!$C$5:$G$1004,4,FALSE)</f>
        <v>#N/A</v>
      </c>
      <c r="L265" t="e">
        <f>VLOOKUP(C265,'Location Data'!$C$5:$G$1004,5,FALSE)</f>
        <v>#N/A</v>
      </c>
    </row>
    <row r="266" spans="1:12" x14ac:dyDescent="0.2">
      <c r="A266">
        <f>'Shipment Data for Provisioning'!B271</f>
        <v>0</v>
      </c>
      <c r="B266">
        <f>'Shipment Data for Provisioning'!C271</f>
        <v>0</v>
      </c>
      <c r="C266">
        <f>'Shipment Data for Provisioning'!D271</f>
        <v>0</v>
      </c>
      <c r="D266">
        <f>'Shipment Data for Provisioning'!E271</f>
        <v>0</v>
      </c>
      <c r="E266">
        <f>'Shipment Data for Provisioning'!F271</f>
        <v>0</v>
      </c>
      <c r="F266">
        <f>'Shipment Data for Provisioning'!G271</f>
        <v>0</v>
      </c>
      <c r="G266">
        <f>'Shipment Data for Provisioning'!H271</f>
        <v>0</v>
      </c>
      <c r="H266">
        <f>'Shipment Data for Provisioning'!I271</f>
        <v>0</v>
      </c>
      <c r="I266" t="e">
        <f>VLOOKUP(B266,'Location Data'!$C$5:$G$1004,4,FALSE)</f>
        <v>#N/A</v>
      </c>
      <c r="J266" t="e">
        <f>VLOOKUP(B266,'Location Data'!$C$5:$G$1004,5,FALSE)</f>
        <v>#N/A</v>
      </c>
      <c r="K266" t="e">
        <f>VLOOKUP(C266,'Location Data'!$C$5:$G$1004,4,FALSE)</f>
        <v>#N/A</v>
      </c>
      <c r="L266" t="e">
        <f>VLOOKUP(C266,'Location Data'!$C$5:$G$1004,5,FALSE)</f>
        <v>#N/A</v>
      </c>
    </row>
    <row r="267" spans="1:12" x14ac:dyDescent="0.2">
      <c r="A267">
        <f>'Shipment Data for Provisioning'!B272</f>
        <v>0</v>
      </c>
      <c r="B267">
        <f>'Shipment Data for Provisioning'!C272</f>
        <v>0</v>
      </c>
      <c r="C267">
        <f>'Shipment Data for Provisioning'!D272</f>
        <v>0</v>
      </c>
      <c r="D267">
        <f>'Shipment Data for Provisioning'!E272</f>
        <v>0</v>
      </c>
      <c r="E267">
        <f>'Shipment Data for Provisioning'!F272</f>
        <v>0</v>
      </c>
      <c r="F267">
        <f>'Shipment Data for Provisioning'!G272</f>
        <v>0</v>
      </c>
      <c r="G267">
        <f>'Shipment Data for Provisioning'!H272</f>
        <v>0</v>
      </c>
      <c r="H267">
        <f>'Shipment Data for Provisioning'!I272</f>
        <v>0</v>
      </c>
      <c r="I267" t="e">
        <f>VLOOKUP(B267,'Location Data'!$C$5:$G$1004,4,FALSE)</f>
        <v>#N/A</v>
      </c>
      <c r="J267" t="e">
        <f>VLOOKUP(B267,'Location Data'!$C$5:$G$1004,5,FALSE)</f>
        <v>#N/A</v>
      </c>
      <c r="K267" t="e">
        <f>VLOOKUP(C267,'Location Data'!$C$5:$G$1004,4,FALSE)</f>
        <v>#N/A</v>
      </c>
      <c r="L267" t="e">
        <f>VLOOKUP(C267,'Location Data'!$C$5:$G$1004,5,FALSE)</f>
        <v>#N/A</v>
      </c>
    </row>
    <row r="268" spans="1:12" x14ac:dyDescent="0.2">
      <c r="A268">
        <f>'Shipment Data for Provisioning'!B273</f>
        <v>0</v>
      </c>
      <c r="B268">
        <f>'Shipment Data for Provisioning'!C273</f>
        <v>0</v>
      </c>
      <c r="C268">
        <f>'Shipment Data for Provisioning'!D273</f>
        <v>0</v>
      </c>
      <c r="D268">
        <f>'Shipment Data for Provisioning'!E273</f>
        <v>0</v>
      </c>
      <c r="E268">
        <f>'Shipment Data for Provisioning'!F273</f>
        <v>0</v>
      </c>
      <c r="F268">
        <f>'Shipment Data for Provisioning'!G273</f>
        <v>0</v>
      </c>
      <c r="G268">
        <f>'Shipment Data for Provisioning'!H273</f>
        <v>0</v>
      </c>
      <c r="H268">
        <f>'Shipment Data for Provisioning'!I273</f>
        <v>0</v>
      </c>
      <c r="I268" t="e">
        <f>VLOOKUP(B268,'Location Data'!$C$5:$G$1004,4,FALSE)</f>
        <v>#N/A</v>
      </c>
      <c r="J268" t="e">
        <f>VLOOKUP(B268,'Location Data'!$C$5:$G$1004,5,FALSE)</f>
        <v>#N/A</v>
      </c>
      <c r="K268" t="e">
        <f>VLOOKUP(C268,'Location Data'!$C$5:$G$1004,4,FALSE)</f>
        <v>#N/A</v>
      </c>
      <c r="L268" t="e">
        <f>VLOOKUP(C268,'Location Data'!$C$5:$G$1004,5,FALSE)</f>
        <v>#N/A</v>
      </c>
    </row>
    <row r="269" spans="1:12" x14ac:dyDescent="0.2">
      <c r="A269">
        <f>'Shipment Data for Provisioning'!B274</f>
        <v>0</v>
      </c>
      <c r="B269">
        <f>'Shipment Data for Provisioning'!C274</f>
        <v>0</v>
      </c>
      <c r="C269">
        <f>'Shipment Data for Provisioning'!D274</f>
        <v>0</v>
      </c>
      <c r="D269">
        <f>'Shipment Data for Provisioning'!E274</f>
        <v>0</v>
      </c>
      <c r="E269">
        <f>'Shipment Data for Provisioning'!F274</f>
        <v>0</v>
      </c>
      <c r="F269">
        <f>'Shipment Data for Provisioning'!G274</f>
        <v>0</v>
      </c>
      <c r="G269">
        <f>'Shipment Data for Provisioning'!H274</f>
        <v>0</v>
      </c>
      <c r="H269">
        <f>'Shipment Data for Provisioning'!I274</f>
        <v>0</v>
      </c>
      <c r="I269" t="e">
        <f>VLOOKUP(B269,'Location Data'!$C$5:$G$1004,4,FALSE)</f>
        <v>#N/A</v>
      </c>
      <c r="J269" t="e">
        <f>VLOOKUP(B269,'Location Data'!$C$5:$G$1004,5,FALSE)</f>
        <v>#N/A</v>
      </c>
      <c r="K269" t="e">
        <f>VLOOKUP(C269,'Location Data'!$C$5:$G$1004,4,FALSE)</f>
        <v>#N/A</v>
      </c>
      <c r="L269" t="e">
        <f>VLOOKUP(C269,'Location Data'!$C$5:$G$1004,5,FALSE)</f>
        <v>#N/A</v>
      </c>
    </row>
    <row r="270" spans="1:12" x14ac:dyDescent="0.2">
      <c r="A270">
        <f>'Shipment Data for Provisioning'!B275</f>
        <v>0</v>
      </c>
      <c r="B270">
        <f>'Shipment Data for Provisioning'!C275</f>
        <v>0</v>
      </c>
      <c r="C270">
        <f>'Shipment Data for Provisioning'!D275</f>
        <v>0</v>
      </c>
      <c r="D270">
        <f>'Shipment Data for Provisioning'!E275</f>
        <v>0</v>
      </c>
      <c r="E270">
        <f>'Shipment Data for Provisioning'!F275</f>
        <v>0</v>
      </c>
      <c r="F270">
        <f>'Shipment Data for Provisioning'!G275</f>
        <v>0</v>
      </c>
      <c r="G270">
        <f>'Shipment Data for Provisioning'!H275</f>
        <v>0</v>
      </c>
      <c r="H270">
        <f>'Shipment Data for Provisioning'!I275</f>
        <v>0</v>
      </c>
      <c r="I270" t="e">
        <f>VLOOKUP(B270,'Location Data'!$C$5:$G$1004,4,FALSE)</f>
        <v>#N/A</v>
      </c>
      <c r="J270" t="e">
        <f>VLOOKUP(B270,'Location Data'!$C$5:$G$1004,5,FALSE)</f>
        <v>#N/A</v>
      </c>
      <c r="K270" t="e">
        <f>VLOOKUP(C270,'Location Data'!$C$5:$G$1004,4,FALSE)</f>
        <v>#N/A</v>
      </c>
      <c r="L270" t="e">
        <f>VLOOKUP(C270,'Location Data'!$C$5:$G$1004,5,FALSE)</f>
        <v>#N/A</v>
      </c>
    </row>
    <row r="271" spans="1:12" x14ac:dyDescent="0.2">
      <c r="A271">
        <f>'Shipment Data for Provisioning'!B276</f>
        <v>0</v>
      </c>
      <c r="B271">
        <f>'Shipment Data for Provisioning'!C276</f>
        <v>0</v>
      </c>
      <c r="C271">
        <f>'Shipment Data for Provisioning'!D276</f>
        <v>0</v>
      </c>
      <c r="D271">
        <f>'Shipment Data for Provisioning'!E276</f>
        <v>0</v>
      </c>
      <c r="E271">
        <f>'Shipment Data for Provisioning'!F276</f>
        <v>0</v>
      </c>
      <c r="F271">
        <f>'Shipment Data for Provisioning'!G276</f>
        <v>0</v>
      </c>
      <c r="G271">
        <f>'Shipment Data for Provisioning'!H276</f>
        <v>0</v>
      </c>
      <c r="H271">
        <f>'Shipment Data for Provisioning'!I276</f>
        <v>0</v>
      </c>
      <c r="I271" t="e">
        <f>VLOOKUP(B271,'Location Data'!$C$5:$G$1004,4,FALSE)</f>
        <v>#N/A</v>
      </c>
      <c r="J271" t="e">
        <f>VLOOKUP(B271,'Location Data'!$C$5:$G$1004,5,FALSE)</f>
        <v>#N/A</v>
      </c>
      <c r="K271" t="e">
        <f>VLOOKUP(C271,'Location Data'!$C$5:$G$1004,4,FALSE)</f>
        <v>#N/A</v>
      </c>
      <c r="L271" t="e">
        <f>VLOOKUP(C271,'Location Data'!$C$5:$G$1004,5,FALSE)</f>
        <v>#N/A</v>
      </c>
    </row>
    <row r="272" spans="1:12" x14ac:dyDescent="0.2">
      <c r="A272">
        <f>'Shipment Data for Provisioning'!B277</f>
        <v>0</v>
      </c>
      <c r="B272">
        <f>'Shipment Data for Provisioning'!C277</f>
        <v>0</v>
      </c>
      <c r="C272">
        <f>'Shipment Data for Provisioning'!D277</f>
        <v>0</v>
      </c>
      <c r="D272">
        <f>'Shipment Data for Provisioning'!E277</f>
        <v>0</v>
      </c>
      <c r="E272">
        <f>'Shipment Data for Provisioning'!F277</f>
        <v>0</v>
      </c>
      <c r="F272">
        <f>'Shipment Data for Provisioning'!G277</f>
        <v>0</v>
      </c>
      <c r="G272">
        <f>'Shipment Data for Provisioning'!H277</f>
        <v>0</v>
      </c>
      <c r="H272">
        <f>'Shipment Data for Provisioning'!I277</f>
        <v>0</v>
      </c>
      <c r="I272" t="e">
        <f>VLOOKUP(B272,'Location Data'!$C$5:$G$1004,4,FALSE)</f>
        <v>#N/A</v>
      </c>
      <c r="J272" t="e">
        <f>VLOOKUP(B272,'Location Data'!$C$5:$G$1004,5,FALSE)</f>
        <v>#N/A</v>
      </c>
      <c r="K272" t="e">
        <f>VLOOKUP(C272,'Location Data'!$C$5:$G$1004,4,FALSE)</f>
        <v>#N/A</v>
      </c>
      <c r="L272" t="e">
        <f>VLOOKUP(C272,'Location Data'!$C$5:$G$1004,5,FALSE)</f>
        <v>#N/A</v>
      </c>
    </row>
    <row r="273" spans="1:12" x14ac:dyDescent="0.2">
      <c r="A273">
        <f>'Shipment Data for Provisioning'!B278</f>
        <v>0</v>
      </c>
      <c r="B273">
        <f>'Shipment Data for Provisioning'!C278</f>
        <v>0</v>
      </c>
      <c r="C273">
        <f>'Shipment Data for Provisioning'!D278</f>
        <v>0</v>
      </c>
      <c r="D273">
        <f>'Shipment Data for Provisioning'!E278</f>
        <v>0</v>
      </c>
      <c r="E273">
        <f>'Shipment Data for Provisioning'!F278</f>
        <v>0</v>
      </c>
      <c r="F273">
        <f>'Shipment Data for Provisioning'!G278</f>
        <v>0</v>
      </c>
      <c r="G273">
        <f>'Shipment Data for Provisioning'!H278</f>
        <v>0</v>
      </c>
      <c r="H273">
        <f>'Shipment Data for Provisioning'!I278</f>
        <v>0</v>
      </c>
      <c r="I273" t="e">
        <f>VLOOKUP(B273,'Location Data'!$C$5:$G$1004,4,FALSE)</f>
        <v>#N/A</v>
      </c>
      <c r="J273" t="e">
        <f>VLOOKUP(B273,'Location Data'!$C$5:$G$1004,5,FALSE)</f>
        <v>#N/A</v>
      </c>
      <c r="K273" t="e">
        <f>VLOOKUP(C273,'Location Data'!$C$5:$G$1004,4,FALSE)</f>
        <v>#N/A</v>
      </c>
      <c r="L273" t="e">
        <f>VLOOKUP(C273,'Location Data'!$C$5:$G$1004,5,FALSE)</f>
        <v>#N/A</v>
      </c>
    </row>
    <row r="274" spans="1:12" x14ac:dyDescent="0.2">
      <c r="A274">
        <f>'Shipment Data for Provisioning'!B279</f>
        <v>0</v>
      </c>
      <c r="B274">
        <f>'Shipment Data for Provisioning'!C279</f>
        <v>0</v>
      </c>
      <c r="C274">
        <f>'Shipment Data for Provisioning'!D279</f>
        <v>0</v>
      </c>
      <c r="D274">
        <f>'Shipment Data for Provisioning'!E279</f>
        <v>0</v>
      </c>
      <c r="E274">
        <f>'Shipment Data for Provisioning'!F279</f>
        <v>0</v>
      </c>
      <c r="F274">
        <f>'Shipment Data for Provisioning'!G279</f>
        <v>0</v>
      </c>
      <c r="G274">
        <f>'Shipment Data for Provisioning'!H279</f>
        <v>0</v>
      </c>
      <c r="H274">
        <f>'Shipment Data for Provisioning'!I279</f>
        <v>0</v>
      </c>
      <c r="I274" t="e">
        <f>VLOOKUP(B274,'Location Data'!$C$5:$G$1004,4,FALSE)</f>
        <v>#N/A</v>
      </c>
      <c r="J274" t="e">
        <f>VLOOKUP(B274,'Location Data'!$C$5:$G$1004,5,FALSE)</f>
        <v>#N/A</v>
      </c>
      <c r="K274" t="e">
        <f>VLOOKUP(C274,'Location Data'!$C$5:$G$1004,4,FALSE)</f>
        <v>#N/A</v>
      </c>
      <c r="L274" t="e">
        <f>VLOOKUP(C274,'Location Data'!$C$5:$G$1004,5,FALSE)</f>
        <v>#N/A</v>
      </c>
    </row>
    <row r="275" spans="1:12" x14ac:dyDescent="0.2">
      <c r="A275">
        <f>'Shipment Data for Provisioning'!B280</f>
        <v>0</v>
      </c>
      <c r="B275">
        <f>'Shipment Data for Provisioning'!C280</f>
        <v>0</v>
      </c>
      <c r="C275">
        <f>'Shipment Data for Provisioning'!D280</f>
        <v>0</v>
      </c>
      <c r="D275">
        <f>'Shipment Data for Provisioning'!E280</f>
        <v>0</v>
      </c>
      <c r="E275">
        <f>'Shipment Data for Provisioning'!F280</f>
        <v>0</v>
      </c>
      <c r="F275">
        <f>'Shipment Data for Provisioning'!G280</f>
        <v>0</v>
      </c>
      <c r="G275">
        <f>'Shipment Data for Provisioning'!H280</f>
        <v>0</v>
      </c>
      <c r="H275">
        <f>'Shipment Data for Provisioning'!I280</f>
        <v>0</v>
      </c>
      <c r="I275" t="e">
        <f>VLOOKUP(B275,'Location Data'!$C$5:$G$1004,4,FALSE)</f>
        <v>#N/A</v>
      </c>
      <c r="J275" t="e">
        <f>VLOOKUP(B275,'Location Data'!$C$5:$G$1004,5,FALSE)</f>
        <v>#N/A</v>
      </c>
      <c r="K275" t="e">
        <f>VLOOKUP(C275,'Location Data'!$C$5:$G$1004,4,FALSE)</f>
        <v>#N/A</v>
      </c>
      <c r="L275" t="e">
        <f>VLOOKUP(C275,'Location Data'!$C$5:$G$1004,5,FALSE)</f>
        <v>#N/A</v>
      </c>
    </row>
    <row r="276" spans="1:12" x14ac:dyDescent="0.2">
      <c r="A276">
        <f>'Shipment Data for Provisioning'!B281</f>
        <v>0</v>
      </c>
      <c r="B276">
        <f>'Shipment Data for Provisioning'!C281</f>
        <v>0</v>
      </c>
      <c r="C276">
        <f>'Shipment Data for Provisioning'!D281</f>
        <v>0</v>
      </c>
      <c r="D276">
        <f>'Shipment Data for Provisioning'!E281</f>
        <v>0</v>
      </c>
      <c r="E276">
        <f>'Shipment Data for Provisioning'!F281</f>
        <v>0</v>
      </c>
      <c r="F276">
        <f>'Shipment Data for Provisioning'!G281</f>
        <v>0</v>
      </c>
      <c r="G276">
        <f>'Shipment Data for Provisioning'!H281</f>
        <v>0</v>
      </c>
      <c r="H276">
        <f>'Shipment Data for Provisioning'!I281</f>
        <v>0</v>
      </c>
      <c r="I276" t="e">
        <f>VLOOKUP(B276,'Location Data'!$C$5:$G$1004,4,FALSE)</f>
        <v>#N/A</v>
      </c>
      <c r="J276" t="e">
        <f>VLOOKUP(B276,'Location Data'!$C$5:$G$1004,5,FALSE)</f>
        <v>#N/A</v>
      </c>
      <c r="K276" t="e">
        <f>VLOOKUP(C276,'Location Data'!$C$5:$G$1004,4,FALSE)</f>
        <v>#N/A</v>
      </c>
      <c r="L276" t="e">
        <f>VLOOKUP(C276,'Location Data'!$C$5:$G$1004,5,FALSE)</f>
        <v>#N/A</v>
      </c>
    </row>
    <row r="277" spans="1:12" x14ac:dyDescent="0.2">
      <c r="A277">
        <f>'Shipment Data for Provisioning'!B282</f>
        <v>0</v>
      </c>
      <c r="B277">
        <f>'Shipment Data for Provisioning'!C282</f>
        <v>0</v>
      </c>
      <c r="C277">
        <f>'Shipment Data for Provisioning'!D282</f>
        <v>0</v>
      </c>
      <c r="D277">
        <f>'Shipment Data for Provisioning'!E282</f>
        <v>0</v>
      </c>
      <c r="E277">
        <f>'Shipment Data for Provisioning'!F282</f>
        <v>0</v>
      </c>
      <c r="F277">
        <f>'Shipment Data for Provisioning'!G282</f>
        <v>0</v>
      </c>
      <c r="G277">
        <f>'Shipment Data for Provisioning'!H282</f>
        <v>0</v>
      </c>
      <c r="H277">
        <f>'Shipment Data for Provisioning'!I282</f>
        <v>0</v>
      </c>
      <c r="I277" t="e">
        <f>VLOOKUP(B277,'Location Data'!$C$5:$G$1004,4,FALSE)</f>
        <v>#N/A</v>
      </c>
      <c r="J277" t="e">
        <f>VLOOKUP(B277,'Location Data'!$C$5:$G$1004,5,FALSE)</f>
        <v>#N/A</v>
      </c>
      <c r="K277" t="e">
        <f>VLOOKUP(C277,'Location Data'!$C$5:$G$1004,4,FALSE)</f>
        <v>#N/A</v>
      </c>
      <c r="L277" t="e">
        <f>VLOOKUP(C277,'Location Data'!$C$5:$G$1004,5,FALSE)</f>
        <v>#N/A</v>
      </c>
    </row>
    <row r="278" spans="1:12" x14ac:dyDescent="0.2">
      <c r="A278">
        <f>'Shipment Data for Provisioning'!B283</f>
        <v>0</v>
      </c>
      <c r="B278">
        <f>'Shipment Data for Provisioning'!C283</f>
        <v>0</v>
      </c>
      <c r="C278">
        <f>'Shipment Data for Provisioning'!D283</f>
        <v>0</v>
      </c>
      <c r="D278">
        <f>'Shipment Data for Provisioning'!E283</f>
        <v>0</v>
      </c>
      <c r="E278">
        <f>'Shipment Data for Provisioning'!F283</f>
        <v>0</v>
      </c>
      <c r="F278">
        <f>'Shipment Data for Provisioning'!G283</f>
        <v>0</v>
      </c>
      <c r="G278">
        <f>'Shipment Data for Provisioning'!H283</f>
        <v>0</v>
      </c>
      <c r="H278">
        <f>'Shipment Data for Provisioning'!I283</f>
        <v>0</v>
      </c>
      <c r="I278" t="e">
        <f>VLOOKUP(B278,'Location Data'!$C$5:$G$1004,4,FALSE)</f>
        <v>#N/A</v>
      </c>
      <c r="J278" t="e">
        <f>VLOOKUP(B278,'Location Data'!$C$5:$G$1004,5,FALSE)</f>
        <v>#N/A</v>
      </c>
      <c r="K278" t="e">
        <f>VLOOKUP(C278,'Location Data'!$C$5:$G$1004,4,FALSE)</f>
        <v>#N/A</v>
      </c>
      <c r="L278" t="e">
        <f>VLOOKUP(C278,'Location Data'!$C$5:$G$1004,5,FALSE)</f>
        <v>#N/A</v>
      </c>
    </row>
    <row r="279" spans="1:12" x14ac:dyDescent="0.2">
      <c r="A279">
        <f>'Shipment Data for Provisioning'!B284</f>
        <v>0</v>
      </c>
      <c r="B279">
        <f>'Shipment Data for Provisioning'!C284</f>
        <v>0</v>
      </c>
      <c r="C279">
        <f>'Shipment Data for Provisioning'!D284</f>
        <v>0</v>
      </c>
      <c r="D279">
        <f>'Shipment Data for Provisioning'!E284</f>
        <v>0</v>
      </c>
      <c r="E279">
        <f>'Shipment Data for Provisioning'!F284</f>
        <v>0</v>
      </c>
      <c r="F279">
        <f>'Shipment Data for Provisioning'!G284</f>
        <v>0</v>
      </c>
      <c r="G279">
        <f>'Shipment Data for Provisioning'!H284</f>
        <v>0</v>
      </c>
      <c r="H279">
        <f>'Shipment Data for Provisioning'!I284</f>
        <v>0</v>
      </c>
      <c r="I279" t="e">
        <f>VLOOKUP(B279,'Location Data'!$C$5:$G$1004,4,FALSE)</f>
        <v>#N/A</v>
      </c>
      <c r="J279" t="e">
        <f>VLOOKUP(B279,'Location Data'!$C$5:$G$1004,5,FALSE)</f>
        <v>#N/A</v>
      </c>
      <c r="K279" t="e">
        <f>VLOOKUP(C279,'Location Data'!$C$5:$G$1004,4,FALSE)</f>
        <v>#N/A</v>
      </c>
      <c r="L279" t="e">
        <f>VLOOKUP(C279,'Location Data'!$C$5:$G$1004,5,FALSE)</f>
        <v>#N/A</v>
      </c>
    </row>
    <row r="280" spans="1:12" x14ac:dyDescent="0.2">
      <c r="A280">
        <f>'Shipment Data for Provisioning'!B285</f>
        <v>0</v>
      </c>
      <c r="B280">
        <f>'Shipment Data for Provisioning'!C285</f>
        <v>0</v>
      </c>
      <c r="C280">
        <f>'Shipment Data for Provisioning'!D285</f>
        <v>0</v>
      </c>
      <c r="D280">
        <f>'Shipment Data for Provisioning'!E285</f>
        <v>0</v>
      </c>
      <c r="E280">
        <f>'Shipment Data for Provisioning'!F285</f>
        <v>0</v>
      </c>
      <c r="F280">
        <f>'Shipment Data for Provisioning'!G285</f>
        <v>0</v>
      </c>
      <c r="G280">
        <f>'Shipment Data for Provisioning'!H285</f>
        <v>0</v>
      </c>
      <c r="H280">
        <f>'Shipment Data for Provisioning'!I285</f>
        <v>0</v>
      </c>
      <c r="I280" t="e">
        <f>VLOOKUP(B280,'Location Data'!$C$5:$G$1004,4,FALSE)</f>
        <v>#N/A</v>
      </c>
      <c r="J280" t="e">
        <f>VLOOKUP(B280,'Location Data'!$C$5:$G$1004,5,FALSE)</f>
        <v>#N/A</v>
      </c>
      <c r="K280" t="e">
        <f>VLOOKUP(C280,'Location Data'!$C$5:$G$1004,4,FALSE)</f>
        <v>#N/A</v>
      </c>
      <c r="L280" t="e">
        <f>VLOOKUP(C280,'Location Data'!$C$5:$G$1004,5,FALSE)</f>
        <v>#N/A</v>
      </c>
    </row>
    <row r="281" spans="1:12" x14ac:dyDescent="0.2">
      <c r="A281">
        <f>'Shipment Data for Provisioning'!B286</f>
        <v>0</v>
      </c>
      <c r="B281">
        <f>'Shipment Data for Provisioning'!C286</f>
        <v>0</v>
      </c>
      <c r="C281">
        <f>'Shipment Data for Provisioning'!D286</f>
        <v>0</v>
      </c>
      <c r="D281">
        <f>'Shipment Data for Provisioning'!E286</f>
        <v>0</v>
      </c>
      <c r="E281">
        <f>'Shipment Data for Provisioning'!F286</f>
        <v>0</v>
      </c>
      <c r="F281">
        <f>'Shipment Data for Provisioning'!G286</f>
        <v>0</v>
      </c>
      <c r="G281">
        <f>'Shipment Data for Provisioning'!H286</f>
        <v>0</v>
      </c>
      <c r="H281">
        <f>'Shipment Data for Provisioning'!I286</f>
        <v>0</v>
      </c>
      <c r="I281" t="e">
        <f>VLOOKUP(B281,'Location Data'!$C$5:$G$1004,4,FALSE)</f>
        <v>#N/A</v>
      </c>
      <c r="J281" t="e">
        <f>VLOOKUP(B281,'Location Data'!$C$5:$G$1004,5,FALSE)</f>
        <v>#N/A</v>
      </c>
      <c r="K281" t="e">
        <f>VLOOKUP(C281,'Location Data'!$C$5:$G$1004,4,FALSE)</f>
        <v>#N/A</v>
      </c>
      <c r="L281" t="e">
        <f>VLOOKUP(C281,'Location Data'!$C$5:$G$1004,5,FALSE)</f>
        <v>#N/A</v>
      </c>
    </row>
    <row r="282" spans="1:12" x14ac:dyDescent="0.2">
      <c r="A282">
        <f>'Shipment Data for Provisioning'!B287</f>
        <v>0</v>
      </c>
      <c r="B282">
        <f>'Shipment Data for Provisioning'!C287</f>
        <v>0</v>
      </c>
      <c r="C282">
        <f>'Shipment Data for Provisioning'!D287</f>
        <v>0</v>
      </c>
      <c r="D282">
        <f>'Shipment Data for Provisioning'!E287</f>
        <v>0</v>
      </c>
      <c r="E282">
        <f>'Shipment Data for Provisioning'!F287</f>
        <v>0</v>
      </c>
      <c r="F282">
        <f>'Shipment Data for Provisioning'!G287</f>
        <v>0</v>
      </c>
      <c r="G282">
        <f>'Shipment Data for Provisioning'!H287</f>
        <v>0</v>
      </c>
      <c r="H282">
        <f>'Shipment Data for Provisioning'!I287</f>
        <v>0</v>
      </c>
      <c r="I282" t="e">
        <f>VLOOKUP(B282,'Location Data'!$C$5:$G$1004,4,FALSE)</f>
        <v>#N/A</v>
      </c>
      <c r="J282" t="e">
        <f>VLOOKUP(B282,'Location Data'!$C$5:$G$1004,5,FALSE)</f>
        <v>#N/A</v>
      </c>
      <c r="K282" t="e">
        <f>VLOOKUP(C282,'Location Data'!$C$5:$G$1004,4,FALSE)</f>
        <v>#N/A</v>
      </c>
      <c r="L282" t="e">
        <f>VLOOKUP(C282,'Location Data'!$C$5:$G$1004,5,FALSE)</f>
        <v>#N/A</v>
      </c>
    </row>
    <row r="283" spans="1:12" x14ac:dyDescent="0.2">
      <c r="A283">
        <f>'Shipment Data for Provisioning'!B288</f>
        <v>0</v>
      </c>
      <c r="B283">
        <f>'Shipment Data for Provisioning'!C288</f>
        <v>0</v>
      </c>
      <c r="C283">
        <f>'Shipment Data for Provisioning'!D288</f>
        <v>0</v>
      </c>
      <c r="D283">
        <f>'Shipment Data for Provisioning'!E288</f>
        <v>0</v>
      </c>
      <c r="E283">
        <f>'Shipment Data for Provisioning'!F288</f>
        <v>0</v>
      </c>
      <c r="F283">
        <f>'Shipment Data for Provisioning'!G288</f>
        <v>0</v>
      </c>
      <c r="G283">
        <f>'Shipment Data for Provisioning'!H288</f>
        <v>0</v>
      </c>
      <c r="H283">
        <f>'Shipment Data for Provisioning'!I288</f>
        <v>0</v>
      </c>
      <c r="I283" t="e">
        <f>VLOOKUP(B283,'Location Data'!$C$5:$G$1004,4,FALSE)</f>
        <v>#N/A</v>
      </c>
      <c r="J283" t="e">
        <f>VLOOKUP(B283,'Location Data'!$C$5:$G$1004,5,FALSE)</f>
        <v>#N/A</v>
      </c>
      <c r="K283" t="e">
        <f>VLOOKUP(C283,'Location Data'!$C$5:$G$1004,4,FALSE)</f>
        <v>#N/A</v>
      </c>
      <c r="L283" t="e">
        <f>VLOOKUP(C283,'Location Data'!$C$5:$G$1004,5,FALSE)</f>
        <v>#N/A</v>
      </c>
    </row>
    <row r="284" spans="1:12" x14ac:dyDescent="0.2">
      <c r="A284">
        <f>'Shipment Data for Provisioning'!B289</f>
        <v>0</v>
      </c>
      <c r="B284">
        <f>'Shipment Data for Provisioning'!C289</f>
        <v>0</v>
      </c>
      <c r="C284">
        <f>'Shipment Data for Provisioning'!D289</f>
        <v>0</v>
      </c>
      <c r="D284">
        <f>'Shipment Data for Provisioning'!E289</f>
        <v>0</v>
      </c>
      <c r="E284">
        <f>'Shipment Data for Provisioning'!F289</f>
        <v>0</v>
      </c>
      <c r="F284">
        <f>'Shipment Data for Provisioning'!G289</f>
        <v>0</v>
      </c>
      <c r="G284">
        <f>'Shipment Data for Provisioning'!H289</f>
        <v>0</v>
      </c>
      <c r="H284">
        <f>'Shipment Data for Provisioning'!I289</f>
        <v>0</v>
      </c>
      <c r="I284" t="e">
        <f>VLOOKUP(B284,'Location Data'!$C$5:$G$1004,4,FALSE)</f>
        <v>#N/A</v>
      </c>
      <c r="J284" t="e">
        <f>VLOOKUP(B284,'Location Data'!$C$5:$G$1004,5,FALSE)</f>
        <v>#N/A</v>
      </c>
      <c r="K284" t="e">
        <f>VLOOKUP(C284,'Location Data'!$C$5:$G$1004,4,FALSE)</f>
        <v>#N/A</v>
      </c>
      <c r="L284" t="e">
        <f>VLOOKUP(C284,'Location Data'!$C$5:$G$1004,5,FALSE)</f>
        <v>#N/A</v>
      </c>
    </row>
    <row r="285" spans="1:12" x14ac:dyDescent="0.2">
      <c r="A285">
        <f>'Shipment Data for Provisioning'!B290</f>
        <v>0</v>
      </c>
      <c r="B285">
        <f>'Shipment Data for Provisioning'!C290</f>
        <v>0</v>
      </c>
      <c r="C285">
        <f>'Shipment Data for Provisioning'!D290</f>
        <v>0</v>
      </c>
      <c r="D285">
        <f>'Shipment Data for Provisioning'!E290</f>
        <v>0</v>
      </c>
      <c r="E285">
        <f>'Shipment Data for Provisioning'!F290</f>
        <v>0</v>
      </c>
      <c r="F285">
        <f>'Shipment Data for Provisioning'!G290</f>
        <v>0</v>
      </c>
      <c r="G285">
        <f>'Shipment Data for Provisioning'!H290</f>
        <v>0</v>
      </c>
      <c r="H285">
        <f>'Shipment Data for Provisioning'!I290</f>
        <v>0</v>
      </c>
      <c r="I285" t="e">
        <f>VLOOKUP(B285,'Location Data'!$C$5:$G$1004,4,FALSE)</f>
        <v>#N/A</v>
      </c>
      <c r="J285" t="e">
        <f>VLOOKUP(B285,'Location Data'!$C$5:$G$1004,5,FALSE)</f>
        <v>#N/A</v>
      </c>
      <c r="K285" t="e">
        <f>VLOOKUP(C285,'Location Data'!$C$5:$G$1004,4,FALSE)</f>
        <v>#N/A</v>
      </c>
      <c r="L285" t="e">
        <f>VLOOKUP(C285,'Location Data'!$C$5:$G$1004,5,FALSE)</f>
        <v>#N/A</v>
      </c>
    </row>
    <row r="286" spans="1:12" x14ac:dyDescent="0.2">
      <c r="A286">
        <f>'Shipment Data for Provisioning'!B291</f>
        <v>0</v>
      </c>
      <c r="B286">
        <f>'Shipment Data for Provisioning'!C291</f>
        <v>0</v>
      </c>
      <c r="C286">
        <f>'Shipment Data for Provisioning'!D291</f>
        <v>0</v>
      </c>
      <c r="D286">
        <f>'Shipment Data for Provisioning'!E291</f>
        <v>0</v>
      </c>
      <c r="E286">
        <f>'Shipment Data for Provisioning'!F291</f>
        <v>0</v>
      </c>
      <c r="F286">
        <f>'Shipment Data for Provisioning'!G291</f>
        <v>0</v>
      </c>
      <c r="G286">
        <f>'Shipment Data for Provisioning'!H291</f>
        <v>0</v>
      </c>
      <c r="H286">
        <f>'Shipment Data for Provisioning'!I291</f>
        <v>0</v>
      </c>
      <c r="I286" t="e">
        <f>VLOOKUP(B286,'Location Data'!$C$5:$G$1004,4,FALSE)</f>
        <v>#N/A</v>
      </c>
      <c r="J286" t="e">
        <f>VLOOKUP(B286,'Location Data'!$C$5:$G$1004,5,FALSE)</f>
        <v>#N/A</v>
      </c>
      <c r="K286" t="e">
        <f>VLOOKUP(C286,'Location Data'!$C$5:$G$1004,4,FALSE)</f>
        <v>#N/A</v>
      </c>
      <c r="L286" t="e">
        <f>VLOOKUP(C286,'Location Data'!$C$5:$G$1004,5,FALSE)</f>
        <v>#N/A</v>
      </c>
    </row>
    <row r="287" spans="1:12" x14ac:dyDescent="0.2">
      <c r="A287">
        <f>'Shipment Data for Provisioning'!B292</f>
        <v>0</v>
      </c>
      <c r="B287">
        <f>'Shipment Data for Provisioning'!C292</f>
        <v>0</v>
      </c>
      <c r="C287">
        <f>'Shipment Data for Provisioning'!D292</f>
        <v>0</v>
      </c>
      <c r="D287">
        <f>'Shipment Data for Provisioning'!E292</f>
        <v>0</v>
      </c>
      <c r="E287">
        <f>'Shipment Data for Provisioning'!F292</f>
        <v>0</v>
      </c>
      <c r="F287">
        <f>'Shipment Data for Provisioning'!G292</f>
        <v>0</v>
      </c>
      <c r="G287">
        <f>'Shipment Data for Provisioning'!H292</f>
        <v>0</v>
      </c>
      <c r="H287">
        <f>'Shipment Data for Provisioning'!I292</f>
        <v>0</v>
      </c>
      <c r="I287" t="e">
        <f>VLOOKUP(B287,'Location Data'!$C$5:$G$1004,4,FALSE)</f>
        <v>#N/A</v>
      </c>
      <c r="J287" t="e">
        <f>VLOOKUP(B287,'Location Data'!$C$5:$G$1004,5,FALSE)</f>
        <v>#N/A</v>
      </c>
      <c r="K287" t="e">
        <f>VLOOKUP(C287,'Location Data'!$C$5:$G$1004,4,FALSE)</f>
        <v>#N/A</v>
      </c>
      <c r="L287" t="e">
        <f>VLOOKUP(C287,'Location Data'!$C$5:$G$1004,5,FALSE)</f>
        <v>#N/A</v>
      </c>
    </row>
    <row r="288" spans="1:12" x14ac:dyDescent="0.2">
      <c r="A288">
        <f>'Shipment Data for Provisioning'!B293</f>
        <v>0</v>
      </c>
      <c r="B288">
        <f>'Shipment Data for Provisioning'!C293</f>
        <v>0</v>
      </c>
      <c r="C288">
        <f>'Shipment Data for Provisioning'!D293</f>
        <v>0</v>
      </c>
      <c r="D288">
        <f>'Shipment Data for Provisioning'!E293</f>
        <v>0</v>
      </c>
      <c r="E288">
        <f>'Shipment Data for Provisioning'!F293</f>
        <v>0</v>
      </c>
      <c r="F288">
        <f>'Shipment Data for Provisioning'!G293</f>
        <v>0</v>
      </c>
      <c r="G288">
        <f>'Shipment Data for Provisioning'!H293</f>
        <v>0</v>
      </c>
      <c r="H288">
        <f>'Shipment Data for Provisioning'!I293</f>
        <v>0</v>
      </c>
      <c r="I288" t="e">
        <f>VLOOKUP(B288,'Location Data'!$C$5:$G$1004,4,FALSE)</f>
        <v>#N/A</v>
      </c>
      <c r="J288" t="e">
        <f>VLOOKUP(B288,'Location Data'!$C$5:$G$1004,5,FALSE)</f>
        <v>#N/A</v>
      </c>
      <c r="K288" t="e">
        <f>VLOOKUP(C288,'Location Data'!$C$5:$G$1004,4,FALSE)</f>
        <v>#N/A</v>
      </c>
      <c r="L288" t="e">
        <f>VLOOKUP(C288,'Location Data'!$C$5:$G$1004,5,FALSE)</f>
        <v>#N/A</v>
      </c>
    </row>
    <row r="289" spans="1:12" x14ac:dyDescent="0.2">
      <c r="A289">
        <f>'Shipment Data for Provisioning'!B294</f>
        <v>0</v>
      </c>
      <c r="B289">
        <f>'Shipment Data for Provisioning'!C294</f>
        <v>0</v>
      </c>
      <c r="C289">
        <f>'Shipment Data for Provisioning'!D294</f>
        <v>0</v>
      </c>
      <c r="D289">
        <f>'Shipment Data for Provisioning'!E294</f>
        <v>0</v>
      </c>
      <c r="E289">
        <f>'Shipment Data for Provisioning'!F294</f>
        <v>0</v>
      </c>
      <c r="F289">
        <f>'Shipment Data for Provisioning'!G294</f>
        <v>0</v>
      </c>
      <c r="G289">
        <f>'Shipment Data for Provisioning'!H294</f>
        <v>0</v>
      </c>
      <c r="H289">
        <f>'Shipment Data for Provisioning'!I294</f>
        <v>0</v>
      </c>
      <c r="I289" t="e">
        <f>VLOOKUP(B289,'Location Data'!$C$5:$G$1004,4,FALSE)</f>
        <v>#N/A</v>
      </c>
      <c r="J289" t="e">
        <f>VLOOKUP(B289,'Location Data'!$C$5:$G$1004,5,FALSE)</f>
        <v>#N/A</v>
      </c>
      <c r="K289" t="e">
        <f>VLOOKUP(C289,'Location Data'!$C$5:$G$1004,4,FALSE)</f>
        <v>#N/A</v>
      </c>
      <c r="L289" t="e">
        <f>VLOOKUP(C289,'Location Data'!$C$5:$G$1004,5,FALSE)</f>
        <v>#N/A</v>
      </c>
    </row>
    <row r="290" spans="1:12" x14ac:dyDescent="0.2">
      <c r="A290">
        <f>'Shipment Data for Provisioning'!B295</f>
        <v>0</v>
      </c>
      <c r="B290">
        <f>'Shipment Data for Provisioning'!C295</f>
        <v>0</v>
      </c>
      <c r="C290">
        <f>'Shipment Data for Provisioning'!D295</f>
        <v>0</v>
      </c>
      <c r="D290">
        <f>'Shipment Data for Provisioning'!E295</f>
        <v>0</v>
      </c>
      <c r="E290">
        <f>'Shipment Data for Provisioning'!F295</f>
        <v>0</v>
      </c>
      <c r="F290">
        <f>'Shipment Data for Provisioning'!G295</f>
        <v>0</v>
      </c>
      <c r="G290">
        <f>'Shipment Data for Provisioning'!H295</f>
        <v>0</v>
      </c>
      <c r="H290">
        <f>'Shipment Data for Provisioning'!I295</f>
        <v>0</v>
      </c>
      <c r="I290" t="e">
        <f>VLOOKUP(B290,'Location Data'!$C$5:$G$1004,4,FALSE)</f>
        <v>#N/A</v>
      </c>
      <c r="J290" t="e">
        <f>VLOOKUP(B290,'Location Data'!$C$5:$G$1004,5,FALSE)</f>
        <v>#N/A</v>
      </c>
      <c r="K290" t="e">
        <f>VLOOKUP(C290,'Location Data'!$C$5:$G$1004,4,FALSE)</f>
        <v>#N/A</v>
      </c>
      <c r="L290" t="e">
        <f>VLOOKUP(C290,'Location Data'!$C$5:$G$1004,5,FALSE)</f>
        <v>#N/A</v>
      </c>
    </row>
    <row r="291" spans="1:12" x14ac:dyDescent="0.2">
      <c r="A291">
        <f>'Shipment Data for Provisioning'!B296</f>
        <v>0</v>
      </c>
      <c r="B291">
        <f>'Shipment Data for Provisioning'!C296</f>
        <v>0</v>
      </c>
      <c r="C291">
        <f>'Shipment Data for Provisioning'!D296</f>
        <v>0</v>
      </c>
      <c r="D291">
        <f>'Shipment Data for Provisioning'!E296</f>
        <v>0</v>
      </c>
      <c r="E291">
        <f>'Shipment Data for Provisioning'!F296</f>
        <v>0</v>
      </c>
      <c r="F291">
        <f>'Shipment Data for Provisioning'!G296</f>
        <v>0</v>
      </c>
      <c r="G291">
        <f>'Shipment Data for Provisioning'!H296</f>
        <v>0</v>
      </c>
      <c r="H291">
        <f>'Shipment Data for Provisioning'!I296</f>
        <v>0</v>
      </c>
      <c r="I291" t="e">
        <f>VLOOKUP(B291,'Location Data'!$C$5:$G$1004,4,FALSE)</f>
        <v>#N/A</v>
      </c>
      <c r="J291" t="e">
        <f>VLOOKUP(B291,'Location Data'!$C$5:$G$1004,5,FALSE)</f>
        <v>#N/A</v>
      </c>
      <c r="K291" t="e">
        <f>VLOOKUP(C291,'Location Data'!$C$5:$G$1004,4,FALSE)</f>
        <v>#N/A</v>
      </c>
      <c r="L291" t="e">
        <f>VLOOKUP(C291,'Location Data'!$C$5:$G$1004,5,FALSE)</f>
        <v>#N/A</v>
      </c>
    </row>
    <row r="292" spans="1:12" x14ac:dyDescent="0.2">
      <c r="A292">
        <f>'Shipment Data for Provisioning'!B297</f>
        <v>0</v>
      </c>
      <c r="B292">
        <f>'Shipment Data for Provisioning'!C297</f>
        <v>0</v>
      </c>
      <c r="C292">
        <f>'Shipment Data for Provisioning'!D297</f>
        <v>0</v>
      </c>
      <c r="D292">
        <f>'Shipment Data for Provisioning'!E297</f>
        <v>0</v>
      </c>
      <c r="E292">
        <f>'Shipment Data for Provisioning'!F297</f>
        <v>0</v>
      </c>
      <c r="F292">
        <f>'Shipment Data for Provisioning'!G297</f>
        <v>0</v>
      </c>
      <c r="G292">
        <f>'Shipment Data for Provisioning'!H297</f>
        <v>0</v>
      </c>
      <c r="H292">
        <f>'Shipment Data for Provisioning'!I297</f>
        <v>0</v>
      </c>
      <c r="I292" t="e">
        <f>VLOOKUP(B292,'Location Data'!$C$5:$G$1004,4,FALSE)</f>
        <v>#N/A</v>
      </c>
      <c r="J292" t="e">
        <f>VLOOKUP(B292,'Location Data'!$C$5:$G$1004,5,FALSE)</f>
        <v>#N/A</v>
      </c>
      <c r="K292" t="e">
        <f>VLOOKUP(C292,'Location Data'!$C$5:$G$1004,4,FALSE)</f>
        <v>#N/A</v>
      </c>
      <c r="L292" t="e">
        <f>VLOOKUP(C292,'Location Data'!$C$5:$G$1004,5,FALSE)</f>
        <v>#N/A</v>
      </c>
    </row>
    <row r="293" spans="1:12" x14ac:dyDescent="0.2">
      <c r="A293">
        <f>'Shipment Data for Provisioning'!B298</f>
        <v>0</v>
      </c>
      <c r="B293">
        <f>'Shipment Data for Provisioning'!C298</f>
        <v>0</v>
      </c>
      <c r="C293">
        <f>'Shipment Data for Provisioning'!D298</f>
        <v>0</v>
      </c>
      <c r="D293">
        <f>'Shipment Data for Provisioning'!E298</f>
        <v>0</v>
      </c>
      <c r="E293">
        <f>'Shipment Data for Provisioning'!F298</f>
        <v>0</v>
      </c>
      <c r="F293">
        <f>'Shipment Data for Provisioning'!G298</f>
        <v>0</v>
      </c>
      <c r="G293">
        <f>'Shipment Data for Provisioning'!H298</f>
        <v>0</v>
      </c>
      <c r="H293">
        <f>'Shipment Data for Provisioning'!I298</f>
        <v>0</v>
      </c>
      <c r="I293" t="e">
        <f>VLOOKUP(B293,'Location Data'!$C$5:$G$1004,4,FALSE)</f>
        <v>#N/A</v>
      </c>
      <c r="J293" t="e">
        <f>VLOOKUP(B293,'Location Data'!$C$5:$G$1004,5,FALSE)</f>
        <v>#N/A</v>
      </c>
      <c r="K293" t="e">
        <f>VLOOKUP(C293,'Location Data'!$C$5:$G$1004,4,FALSE)</f>
        <v>#N/A</v>
      </c>
      <c r="L293" t="e">
        <f>VLOOKUP(C293,'Location Data'!$C$5:$G$1004,5,FALSE)</f>
        <v>#N/A</v>
      </c>
    </row>
    <row r="294" spans="1:12" x14ac:dyDescent="0.2">
      <c r="A294">
        <f>'Shipment Data for Provisioning'!B299</f>
        <v>0</v>
      </c>
      <c r="B294">
        <f>'Shipment Data for Provisioning'!C299</f>
        <v>0</v>
      </c>
      <c r="C294">
        <f>'Shipment Data for Provisioning'!D299</f>
        <v>0</v>
      </c>
      <c r="D294">
        <f>'Shipment Data for Provisioning'!E299</f>
        <v>0</v>
      </c>
      <c r="E294">
        <f>'Shipment Data for Provisioning'!F299</f>
        <v>0</v>
      </c>
      <c r="F294">
        <f>'Shipment Data for Provisioning'!G299</f>
        <v>0</v>
      </c>
      <c r="G294">
        <f>'Shipment Data for Provisioning'!H299</f>
        <v>0</v>
      </c>
      <c r="H294">
        <f>'Shipment Data for Provisioning'!I299</f>
        <v>0</v>
      </c>
      <c r="I294" t="e">
        <f>VLOOKUP(B294,'Location Data'!$C$5:$G$1004,4,FALSE)</f>
        <v>#N/A</v>
      </c>
      <c r="J294" t="e">
        <f>VLOOKUP(B294,'Location Data'!$C$5:$G$1004,5,FALSE)</f>
        <v>#N/A</v>
      </c>
      <c r="K294" t="e">
        <f>VLOOKUP(C294,'Location Data'!$C$5:$G$1004,4,FALSE)</f>
        <v>#N/A</v>
      </c>
      <c r="L294" t="e">
        <f>VLOOKUP(C294,'Location Data'!$C$5:$G$1004,5,FALSE)</f>
        <v>#N/A</v>
      </c>
    </row>
    <row r="295" spans="1:12" x14ac:dyDescent="0.2">
      <c r="A295">
        <f>'Shipment Data for Provisioning'!B300</f>
        <v>0</v>
      </c>
      <c r="B295">
        <f>'Shipment Data for Provisioning'!C300</f>
        <v>0</v>
      </c>
      <c r="C295">
        <f>'Shipment Data for Provisioning'!D300</f>
        <v>0</v>
      </c>
      <c r="D295">
        <f>'Shipment Data for Provisioning'!E300</f>
        <v>0</v>
      </c>
      <c r="E295">
        <f>'Shipment Data for Provisioning'!F300</f>
        <v>0</v>
      </c>
      <c r="F295">
        <f>'Shipment Data for Provisioning'!G300</f>
        <v>0</v>
      </c>
      <c r="G295">
        <f>'Shipment Data for Provisioning'!H300</f>
        <v>0</v>
      </c>
      <c r="H295">
        <f>'Shipment Data for Provisioning'!I300</f>
        <v>0</v>
      </c>
      <c r="I295" t="e">
        <f>VLOOKUP(B295,'Location Data'!$C$5:$G$1004,4,FALSE)</f>
        <v>#N/A</v>
      </c>
      <c r="J295" t="e">
        <f>VLOOKUP(B295,'Location Data'!$C$5:$G$1004,5,FALSE)</f>
        <v>#N/A</v>
      </c>
      <c r="K295" t="e">
        <f>VLOOKUP(C295,'Location Data'!$C$5:$G$1004,4,FALSE)</f>
        <v>#N/A</v>
      </c>
      <c r="L295" t="e">
        <f>VLOOKUP(C295,'Location Data'!$C$5:$G$1004,5,FALSE)</f>
        <v>#N/A</v>
      </c>
    </row>
    <row r="296" spans="1:12" x14ac:dyDescent="0.2">
      <c r="A296">
        <f>'Shipment Data for Provisioning'!B301</f>
        <v>0</v>
      </c>
      <c r="B296">
        <f>'Shipment Data for Provisioning'!C301</f>
        <v>0</v>
      </c>
      <c r="C296">
        <f>'Shipment Data for Provisioning'!D301</f>
        <v>0</v>
      </c>
      <c r="D296">
        <f>'Shipment Data for Provisioning'!E301</f>
        <v>0</v>
      </c>
      <c r="E296">
        <f>'Shipment Data for Provisioning'!F301</f>
        <v>0</v>
      </c>
      <c r="F296">
        <f>'Shipment Data for Provisioning'!G301</f>
        <v>0</v>
      </c>
      <c r="G296">
        <f>'Shipment Data for Provisioning'!H301</f>
        <v>0</v>
      </c>
      <c r="H296">
        <f>'Shipment Data for Provisioning'!I301</f>
        <v>0</v>
      </c>
      <c r="I296" t="e">
        <f>VLOOKUP(B296,'Location Data'!$C$5:$G$1004,4,FALSE)</f>
        <v>#N/A</v>
      </c>
      <c r="J296" t="e">
        <f>VLOOKUP(B296,'Location Data'!$C$5:$G$1004,5,FALSE)</f>
        <v>#N/A</v>
      </c>
      <c r="K296" t="e">
        <f>VLOOKUP(C296,'Location Data'!$C$5:$G$1004,4,FALSE)</f>
        <v>#N/A</v>
      </c>
      <c r="L296" t="e">
        <f>VLOOKUP(C296,'Location Data'!$C$5:$G$1004,5,FALSE)</f>
        <v>#N/A</v>
      </c>
    </row>
    <row r="297" spans="1:12" x14ac:dyDescent="0.2">
      <c r="A297">
        <f>'Shipment Data for Provisioning'!B302</f>
        <v>0</v>
      </c>
      <c r="B297">
        <f>'Shipment Data for Provisioning'!C302</f>
        <v>0</v>
      </c>
      <c r="C297">
        <f>'Shipment Data for Provisioning'!D302</f>
        <v>0</v>
      </c>
      <c r="D297">
        <f>'Shipment Data for Provisioning'!E302</f>
        <v>0</v>
      </c>
      <c r="E297">
        <f>'Shipment Data for Provisioning'!F302</f>
        <v>0</v>
      </c>
      <c r="F297">
        <f>'Shipment Data for Provisioning'!G302</f>
        <v>0</v>
      </c>
      <c r="G297">
        <f>'Shipment Data for Provisioning'!H302</f>
        <v>0</v>
      </c>
      <c r="H297">
        <f>'Shipment Data for Provisioning'!I302</f>
        <v>0</v>
      </c>
      <c r="I297" t="e">
        <f>VLOOKUP(B297,'Location Data'!$C$5:$G$1004,4,FALSE)</f>
        <v>#N/A</v>
      </c>
      <c r="J297" t="e">
        <f>VLOOKUP(B297,'Location Data'!$C$5:$G$1004,5,FALSE)</f>
        <v>#N/A</v>
      </c>
      <c r="K297" t="e">
        <f>VLOOKUP(C297,'Location Data'!$C$5:$G$1004,4,FALSE)</f>
        <v>#N/A</v>
      </c>
      <c r="L297" t="e">
        <f>VLOOKUP(C297,'Location Data'!$C$5:$G$1004,5,FALSE)</f>
        <v>#N/A</v>
      </c>
    </row>
    <row r="298" spans="1:12" x14ac:dyDescent="0.2">
      <c r="A298">
        <f>'Shipment Data for Provisioning'!B303</f>
        <v>0</v>
      </c>
      <c r="B298">
        <f>'Shipment Data for Provisioning'!C303</f>
        <v>0</v>
      </c>
      <c r="C298">
        <f>'Shipment Data for Provisioning'!D303</f>
        <v>0</v>
      </c>
      <c r="D298">
        <f>'Shipment Data for Provisioning'!E303</f>
        <v>0</v>
      </c>
      <c r="E298">
        <f>'Shipment Data for Provisioning'!F303</f>
        <v>0</v>
      </c>
      <c r="F298">
        <f>'Shipment Data for Provisioning'!G303</f>
        <v>0</v>
      </c>
      <c r="G298">
        <f>'Shipment Data for Provisioning'!H303</f>
        <v>0</v>
      </c>
      <c r="H298">
        <f>'Shipment Data for Provisioning'!I303</f>
        <v>0</v>
      </c>
      <c r="I298" t="e">
        <f>VLOOKUP(B298,'Location Data'!$C$5:$G$1004,4,FALSE)</f>
        <v>#N/A</v>
      </c>
      <c r="J298" t="e">
        <f>VLOOKUP(B298,'Location Data'!$C$5:$G$1004,5,FALSE)</f>
        <v>#N/A</v>
      </c>
      <c r="K298" t="e">
        <f>VLOOKUP(C298,'Location Data'!$C$5:$G$1004,4,FALSE)</f>
        <v>#N/A</v>
      </c>
      <c r="L298" t="e">
        <f>VLOOKUP(C298,'Location Data'!$C$5:$G$1004,5,FALSE)</f>
        <v>#N/A</v>
      </c>
    </row>
    <row r="299" spans="1:12" x14ac:dyDescent="0.2">
      <c r="A299">
        <f>'Shipment Data for Provisioning'!B304</f>
        <v>0</v>
      </c>
      <c r="B299">
        <f>'Shipment Data for Provisioning'!C304</f>
        <v>0</v>
      </c>
      <c r="C299">
        <f>'Shipment Data for Provisioning'!D304</f>
        <v>0</v>
      </c>
      <c r="D299">
        <f>'Shipment Data for Provisioning'!E304</f>
        <v>0</v>
      </c>
      <c r="E299">
        <f>'Shipment Data for Provisioning'!F304</f>
        <v>0</v>
      </c>
      <c r="F299">
        <f>'Shipment Data for Provisioning'!G304</f>
        <v>0</v>
      </c>
      <c r="G299">
        <f>'Shipment Data for Provisioning'!H304</f>
        <v>0</v>
      </c>
      <c r="H299">
        <f>'Shipment Data for Provisioning'!I304</f>
        <v>0</v>
      </c>
      <c r="I299" t="e">
        <f>VLOOKUP(B299,'Location Data'!$C$5:$G$1004,4,FALSE)</f>
        <v>#N/A</v>
      </c>
      <c r="J299" t="e">
        <f>VLOOKUP(B299,'Location Data'!$C$5:$G$1004,5,FALSE)</f>
        <v>#N/A</v>
      </c>
      <c r="K299" t="e">
        <f>VLOOKUP(C299,'Location Data'!$C$5:$G$1004,4,FALSE)</f>
        <v>#N/A</v>
      </c>
      <c r="L299" t="e">
        <f>VLOOKUP(C299,'Location Data'!$C$5:$G$1004,5,FALSE)</f>
        <v>#N/A</v>
      </c>
    </row>
    <row r="300" spans="1:12" x14ac:dyDescent="0.2">
      <c r="A300">
        <f>'Shipment Data for Provisioning'!B305</f>
        <v>0</v>
      </c>
      <c r="B300">
        <f>'Shipment Data for Provisioning'!C305</f>
        <v>0</v>
      </c>
      <c r="C300">
        <f>'Shipment Data for Provisioning'!D305</f>
        <v>0</v>
      </c>
      <c r="D300">
        <f>'Shipment Data for Provisioning'!E305</f>
        <v>0</v>
      </c>
      <c r="E300">
        <f>'Shipment Data for Provisioning'!F305</f>
        <v>0</v>
      </c>
      <c r="F300">
        <f>'Shipment Data for Provisioning'!G305</f>
        <v>0</v>
      </c>
      <c r="G300">
        <f>'Shipment Data for Provisioning'!H305</f>
        <v>0</v>
      </c>
      <c r="H300">
        <f>'Shipment Data for Provisioning'!I305</f>
        <v>0</v>
      </c>
      <c r="I300" t="e">
        <f>VLOOKUP(B300,'Location Data'!$C$5:$G$1004,4,FALSE)</f>
        <v>#N/A</v>
      </c>
      <c r="J300" t="e">
        <f>VLOOKUP(B300,'Location Data'!$C$5:$G$1004,5,FALSE)</f>
        <v>#N/A</v>
      </c>
      <c r="K300" t="e">
        <f>VLOOKUP(C300,'Location Data'!$C$5:$G$1004,4,FALSE)</f>
        <v>#N/A</v>
      </c>
      <c r="L300" t="e">
        <f>VLOOKUP(C300,'Location Data'!$C$5:$G$1004,5,FALSE)</f>
        <v>#N/A</v>
      </c>
    </row>
    <row r="301" spans="1:12" x14ac:dyDescent="0.2">
      <c r="A301">
        <f>'Shipment Data for Provisioning'!B306</f>
        <v>0</v>
      </c>
      <c r="B301">
        <f>'Shipment Data for Provisioning'!C306</f>
        <v>0</v>
      </c>
      <c r="C301">
        <f>'Shipment Data for Provisioning'!D306</f>
        <v>0</v>
      </c>
      <c r="D301">
        <f>'Shipment Data for Provisioning'!E306</f>
        <v>0</v>
      </c>
      <c r="E301">
        <f>'Shipment Data for Provisioning'!F306</f>
        <v>0</v>
      </c>
      <c r="F301">
        <f>'Shipment Data for Provisioning'!G306</f>
        <v>0</v>
      </c>
      <c r="G301">
        <f>'Shipment Data for Provisioning'!H306</f>
        <v>0</v>
      </c>
      <c r="H301">
        <f>'Shipment Data for Provisioning'!I306</f>
        <v>0</v>
      </c>
      <c r="I301" t="e">
        <f>VLOOKUP(B301,'Location Data'!$C$5:$G$1004,4,FALSE)</f>
        <v>#N/A</v>
      </c>
      <c r="J301" t="e">
        <f>VLOOKUP(B301,'Location Data'!$C$5:$G$1004,5,FALSE)</f>
        <v>#N/A</v>
      </c>
      <c r="K301" t="e">
        <f>VLOOKUP(C301,'Location Data'!$C$5:$G$1004,4,FALSE)</f>
        <v>#N/A</v>
      </c>
      <c r="L301" t="e">
        <f>VLOOKUP(C301,'Location Data'!$C$5:$G$1004,5,FALSE)</f>
        <v>#N/A</v>
      </c>
    </row>
    <row r="302" spans="1:12" x14ac:dyDescent="0.2">
      <c r="A302">
        <f>'Shipment Data for Provisioning'!B307</f>
        <v>0</v>
      </c>
      <c r="B302">
        <f>'Shipment Data for Provisioning'!C307</f>
        <v>0</v>
      </c>
      <c r="C302">
        <f>'Shipment Data for Provisioning'!D307</f>
        <v>0</v>
      </c>
      <c r="D302">
        <f>'Shipment Data for Provisioning'!E307</f>
        <v>0</v>
      </c>
      <c r="E302">
        <f>'Shipment Data for Provisioning'!F307</f>
        <v>0</v>
      </c>
      <c r="F302">
        <f>'Shipment Data for Provisioning'!G307</f>
        <v>0</v>
      </c>
      <c r="G302">
        <f>'Shipment Data for Provisioning'!H307</f>
        <v>0</v>
      </c>
      <c r="H302">
        <f>'Shipment Data for Provisioning'!I307</f>
        <v>0</v>
      </c>
      <c r="I302" t="e">
        <f>VLOOKUP(B302,'Location Data'!$C$5:$G$1004,4,FALSE)</f>
        <v>#N/A</v>
      </c>
      <c r="J302" t="e">
        <f>VLOOKUP(B302,'Location Data'!$C$5:$G$1004,5,FALSE)</f>
        <v>#N/A</v>
      </c>
      <c r="K302" t="e">
        <f>VLOOKUP(C302,'Location Data'!$C$5:$G$1004,4,FALSE)</f>
        <v>#N/A</v>
      </c>
      <c r="L302" t="e">
        <f>VLOOKUP(C302,'Location Data'!$C$5:$G$1004,5,FALSE)</f>
        <v>#N/A</v>
      </c>
    </row>
    <row r="303" spans="1:12" x14ac:dyDescent="0.2">
      <c r="A303">
        <f>'Shipment Data for Provisioning'!B308</f>
        <v>0</v>
      </c>
      <c r="B303">
        <f>'Shipment Data for Provisioning'!C308</f>
        <v>0</v>
      </c>
      <c r="C303">
        <f>'Shipment Data for Provisioning'!D308</f>
        <v>0</v>
      </c>
      <c r="D303">
        <f>'Shipment Data for Provisioning'!E308</f>
        <v>0</v>
      </c>
      <c r="E303">
        <f>'Shipment Data for Provisioning'!F308</f>
        <v>0</v>
      </c>
      <c r="F303">
        <f>'Shipment Data for Provisioning'!G308</f>
        <v>0</v>
      </c>
      <c r="G303">
        <f>'Shipment Data for Provisioning'!H308</f>
        <v>0</v>
      </c>
      <c r="H303">
        <f>'Shipment Data for Provisioning'!I308</f>
        <v>0</v>
      </c>
      <c r="I303" t="e">
        <f>VLOOKUP(B303,'Location Data'!$C$5:$G$1004,4,FALSE)</f>
        <v>#N/A</v>
      </c>
      <c r="J303" t="e">
        <f>VLOOKUP(B303,'Location Data'!$C$5:$G$1004,5,FALSE)</f>
        <v>#N/A</v>
      </c>
      <c r="K303" t="e">
        <f>VLOOKUP(C303,'Location Data'!$C$5:$G$1004,4,FALSE)</f>
        <v>#N/A</v>
      </c>
      <c r="L303" t="e">
        <f>VLOOKUP(C303,'Location Data'!$C$5:$G$1004,5,FALSE)</f>
        <v>#N/A</v>
      </c>
    </row>
    <row r="304" spans="1:12" x14ac:dyDescent="0.2">
      <c r="A304">
        <f>'Shipment Data for Provisioning'!B309</f>
        <v>0</v>
      </c>
      <c r="B304">
        <f>'Shipment Data for Provisioning'!C309</f>
        <v>0</v>
      </c>
      <c r="C304">
        <f>'Shipment Data for Provisioning'!D309</f>
        <v>0</v>
      </c>
      <c r="D304">
        <f>'Shipment Data for Provisioning'!E309</f>
        <v>0</v>
      </c>
      <c r="E304">
        <f>'Shipment Data for Provisioning'!F309</f>
        <v>0</v>
      </c>
      <c r="F304">
        <f>'Shipment Data for Provisioning'!G309</f>
        <v>0</v>
      </c>
      <c r="G304">
        <f>'Shipment Data for Provisioning'!H309</f>
        <v>0</v>
      </c>
      <c r="H304">
        <f>'Shipment Data for Provisioning'!I309</f>
        <v>0</v>
      </c>
      <c r="I304" t="e">
        <f>VLOOKUP(B304,'Location Data'!$C$5:$G$1004,4,FALSE)</f>
        <v>#N/A</v>
      </c>
      <c r="J304" t="e">
        <f>VLOOKUP(B304,'Location Data'!$C$5:$G$1004,5,FALSE)</f>
        <v>#N/A</v>
      </c>
      <c r="K304" t="e">
        <f>VLOOKUP(C304,'Location Data'!$C$5:$G$1004,4,FALSE)</f>
        <v>#N/A</v>
      </c>
      <c r="L304" t="e">
        <f>VLOOKUP(C304,'Location Data'!$C$5:$G$1004,5,FALSE)</f>
        <v>#N/A</v>
      </c>
    </row>
    <row r="305" spans="1:12" x14ac:dyDescent="0.2">
      <c r="A305">
        <f>'Shipment Data for Provisioning'!B310</f>
        <v>0</v>
      </c>
      <c r="B305">
        <f>'Shipment Data for Provisioning'!C310</f>
        <v>0</v>
      </c>
      <c r="C305">
        <f>'Shipment Data for Provisioning'!D310</f>
        <v>0</v>
      </c>
      <c r="D305">
        <f>'Shipment Data for Provisioning'!E310</f>
        <v>0</v>
      </c>
      <c r="E305">
        <f>'Shipment Data for Provisioning'!F310</f>
        <v>0</v>
      </c>
      <c r="F305">
        <f>'Shipment Data for Provisioning'!G310</f>
        <v>0</v>
      </c>
      <c r="G305">
        <f>'Shipment Data for Provisioning'!H310</f>
        <v>0</v>
      </c>
      <c r="H305">
        <f>'Shipment Data for Provisioning'!I310</f>
        <v>0</v>
      </c>
      <c r="I305" t="e">
        <f>VLOOKUP(B305,'Location Data'!$C$5:$G$1004,4,FALSE)</f>
        <v>#N/A</v>
      </c>
      <c r="J305" t="e">
        <f>VLOOKUP(B305,'Location Data'!$C$5:$G$1004,5,FALSE)</f>
        <v>#N/A</v>
      </c>
      <c r="K305" t="e">
        <f>VLOOKUP(C305,'Location Data'!$C$5:$G$1004,4,FALSE)</f>
        <v>#N/A</v>
      </c>
      <c r="L305" t="e">
        <f>VLOOKUP(C305,'Location Data'!$C$5:$G$1004,5,FALSE)</f>
        <v>#N/A</v>
      </c>
    </row>
    <row r="306" spans="1:12" x14ac:dyDescent="0.2">
      <c r="A306">
        <f>'Shipment Data for Provisioning'!B311</f>
        <v>0</v>
      </c>
      <c r="B306">
        <f>'Shipment Data for Provisioning'!C311</f>
        <v>0</v>
      </c>
      <c r="C306">
        <f>'Shipment Data for Provisioning'!D311</f>
        <v>0</v>
      </c>
      <c r="D306">
        <f>'Shipment Data for Provisioning'!E311</f>
        <v>0</v>
      </c>
      <c r="E306">
        <f>'Shipment Data for Provisioning'!F311</f>
        <v>0</v>
      </c>
      <c r="F306">
        <f>'Shipment Data for Provisioning'!G311</f>
        <v>0</v>
      </c>
      <c r="G306">
        <f>'Shipment Data for Provisioning'!H311</f>
        <v>0</v>
      </c>
      <c r="H306">
        <f>'Shipment Data for Provisioning'!I311</f>
        <v>0</v>
      </c>
      <c r="I306" t="e">
        <f>VLOOKUP(B306,'Location Data'!$C$5:$G$1004,4,FALSE)</f>
        <v>#N/A</v>
      </c>
      <c r="J306" t="e">
        <f>VLOOKUP(B306,'Location Data'!$C$5:$G$1004,5,FALSE)</f>
        <v>#N/A</v>
      </c>
      <c r="K306" t="e">
        <f>VLOOKUP(C306,'Location Data'!$C$5:$G$1004,4,FALSE)</f>
        <v>#N/A</v>
      </c>
      <c r="L306" t="e">
        <f>VLOOKUP(C306,'Location Data'!$C$5:$G$1004,5,FALSE)</f>
        <v>#N/A</v>
      </c>
    </row>
    <row r="307" spans="1:12" x14ac:dyDescent="0.2">
      <c r="A307">
        <f>'Shipment Data for Provisioning'!B312</f>
        <v>0</v>
      </c>
      <c r="B307">
        <f>'Shipment Data for Provisioning'!C312</f>
        <v>0</v>
      </c>
      <c r="C307">
        <f>'Shipment Data for Provisioning'!D312</f>
        <v>0</v>
      </c>
      <c r="D307">
        <f>'Shipment Data for Provisioning'!E312</f>
        <v>0</v>
      </c>
      <c r="E307">
        <f>'Shipment Data for Provisioning'!F312</f>
        <v>0</v>
      </c>
      <c r="F307">
        <f>'Shipment Data for Provisioning'!G312</f>
        <v>0</v>
      </c>
      <c r="G307">
        <f>'Shipment Data for Provisioning'!H312</f>
        <v>0</v>
      </c>
      <c r="H307">
        <f>'Shipment Data for Provisioning'!I312</f>
        <v>0</v>
      </c>
      <c r="I307" t="e">
        <f>VLOOKUP(B307,'Location Data'!$C$5:$G$1004,4,FALSE)</f>
        <v>#N/A</v>
      </c>
      <c r="J307" t="e">
        <f>VLOOKUP(B307,'Location Data'!$C$5:$G$1004,5,FALSE)</f>
        <v>#N/A</v>
      </c>
      <c r="K307" t="e">
        <f>VLOOKUP(C307,'Location Data'!$C$5:$G$1004,4,FALSE)</f>
        <v>#N/A</v>
      </c>
      <c r="L307" t="e">
        <f>VLOOKUP(C307,'Location Data'!$C$5:$G$1004,5,FALSE)</f>
        <v>#N/A</v>
      </c>
    </row>
    <row r="308" spans="1:12" x14ac:dyDescent="0.2">
      <c r="A308">
        <f>'Shipment Data for Provisioning'!B313</f>
        <v>0</v>
      </c>
      <c r="B308">
        <f>'Shipment Data for Provisioning'!C313</f>
        <v>0</v>
      </c>
      <c r="C308">
        <f>'Shipment Data for Provisioning'!D313</f>
        <v>0</v>
      </c>
      <c r="D308">
        <f>'Shipment Data for Provisioning'!E313</f>
        <v>0</v>
      </c>
      <c r="E308">
        <f>'Shipment Data for Provisioning'!F313</f>
        <v>0</v>
      </c>
      <c r="F308">
        <f>'Shipment Data for Provisioning'!G313</f>
        <v>0</v>
      </c>
      <c r="G308">
        <f>'Shipment Data for Provisioning'!H313</f>
        <v>0</v>
      </c>
      <c r="H308">
        <f>'Shipment Data for Provisioning'!I313</f>
        <v>0</v>
      </c>
      <c r="I308" t="e">
        <f>VLOOKUP(B308,'Location Data'!$C$5:$G$1004,4,FALSE)</f>
        <v>#N/A</v>
      </c>
      <c r="J308" t="e">
        <f>VLOOKUP(B308,'Location Data'!$C$5:$G$1004,5,FALSE)</f>
        <v>#N/A</v>
      </c>
      <c r="K308" t="e">
        <f>VLOOKUP(C308,'Location Data'!$C$5:$G$1004,4,FALSE)</f>
        <v>#N/A</v>
      </c>
      <c r="L308" t="e">
        <f>VLOOKUP(C308,'Location Data'!$C$5:$G$1004,5,FALSE)</f>
        <v>#N/A</v>
      </c>
    </row>
    <row r="309" spans="1:12" x14ac:dyDescent="0.2">
      <c r="A309">
        <f>'Shipment Data for Provisioning'!B314</f>
        <v>0</v>
      </c>
      <c r="B309">
        <f>'Shipment Data for Provisioning'!C314</f>
        <v>0</v>
      </c>
      <c r="C309">
        <f>'Shipment Data for Provisioning'!D314</f>
        <v>0</v>
      </c>
      <c r="D309">
        <f>'Shipment Data for Provisioning'!E314</f>
        <v>0</v>
      </c>
      <c r="E309">
        <f>'Shipment Data for Provisioning'!F314</f>
        <v>0</v>
      </c>
      <c r="F309">
        <f>'Shipment Data for Provisioning'!G314</f>
        <v>0</v>
      </c>
      <c r="G309">
        <f>'Shipment Data for Provisioning'!H314</f>
        <v>0</v>
      </c>
      <c r="H309">
        <f>'Shipment Data for Provisioning'!I314</f>
        <v>0</v>
      </c>
      <c r="I309" t="e">
        <f>VLOOKUP(B309,'Location Data'!$C$5:$G$1004,4,FALSE)</f>
        <v>#N/A</v>
      </c>
      <c r="J309" t="e">
        <f>VLOOKUP(B309,'Location Data'!$C$5:$G$1004,5,FALSE)</f>
        <v>#N/A</v>
      </c>
      <c r="K309" t="e">
        <f>VLOOKUP(C309,'Location Data'!$C$5:$G$1004,4,FALSE)</f>
        <v>#N/A</v>
      </c>
      <c r="L309" t="e">
        <f>VLOOKUP(C309,'Location Data'!$C$5:$G$1004,5,FALSE)</f>
        <v>#N/A</v>
      </c>
    </row>
    <row r="310" spans="1:12" x14ac:dyDescent="0.2">
      <c r="A310">
        <f>'Shipment Data for Provisioning'!B315</f>
        <v>0</v>
      </c>
      <c r="B310">
        <f>'Shipment Data for Provisioning'!C315</f>
        <v>0</v>
      </c>
      <c r="C310">
        <f>'Shipment Data for Provisioning'!D315</f>
        <v>0</v>
      </c>
      <c r="D310">
        <f>'Shipment Data for Provisioning'!E315</f>
        <v>0</v>
      </c>
      <c r="E310">
        <f>'Shipment Data for Provisioning'!F315</f>
        <v>0</v>
      </c>
      <c r="F310">
        <f>'Shipment Data for Provisioning'!G315</f>
        <v>0</v>
      </c>
      <c r="G310">
        <f>'Shipment Data for Provisioning'!H315</f>
        <v>0</v>
      </c>
      <c r="H310">
        <f>'Shipment Data for Provisioning'!I315</f>
        <v>0</v>
      </c>
      <c r="I310" t="e">
        <f>VLOOKUP(B310,'Location Data'!$C$5:$G$1004,4,FALSE)</f>
        <v>#N/A</v>
      </c>
      <c r="J310" t="e">
        <f>VLOOKUP(B310,'Location Data'!$C$5:$G$1004,5,FALSE)</f>
        <v>#N/A</v>
      </c>
      <c r="K310" t="e">
        <f>VLOOKUP(C310,'Location Data'!$C$5:$G$1004,4,FALSE)</f>
        <v>#N/A</v>
      </c>
      <c r="L310" t="e">
        <f>VLOOKUP(C310,'Location Data'!$C$5:$G$1004,5,FALSE)</f>
        <v>#N/A</v>
      </c>
    </row>
    <row r="311" spans="1:12" x14ac:dyDescent="0.2">
      <c r="A311">
        <f>'Shipment Data for Provisioning'!B316</f>
        <v>0</v>
      </c>
      <c r="B311">
        <f>'Shipment Data for Provisioning'!C316</f>
        <v>0</v>
      </c>
      <c r="C311">
        <f>'Shipment Data for Provisioning'!D316</f>
        <v>0</v>
      </c>
      <c r="D311">
        <f>'Shipment Data for Provisioning'!E316</f>
        <v>0</v>
      </c>
      <c r="E311">
        <f>'Shipment Data for Provisioning'!F316</f>
        <v>0</v>
      </c>
      <c r="F311">
        <f>'Shipment Data for Provisioning'!G316</f>
        <v>0</v>
      </c>
      <c r="G311">
        <f>'Shipment Data for Provisioning'!H316</f>
        <v>0</v>
      </c>
      <c r="H311">
        <f>'Shipment Data for Provisioning'!I316</f>
        <v>0</v>
      </c>
      <c r="I311" t="e">
        <f>VLOOKUP(B311,'Location Data'!$C$5:$G$1004,4,FALSE)</f>
        <v>#N/A</v>
      </c>
      <c r="J311" t="e">
        <f>VLOOKUP(B311,'Location Data'!$C$5:$G$1004,5,FALSE)</f>
        <v>#N/A</v>
      </c>
      <c r="K311" t="e">
        <f>VLOOKUP(C311,'Location Data'!$C$5:$G$1004,4,FALSE)</f>
        <v>#N/A</v>
      </c>
      <c r="L311" t="e">
        <f>VLOOKUP(C311,'Location Data'!$C$5:$G$1004,5,FALSE)</f>
        <v>#N/A</v>
      </c>
    </row>
    <row r="312" spans="1:12" x14ac:dyDescent="0.2">
      <c r="A312">
        <f>'Shipment Data for Provisioning'!B317</f>
        <v>0</v>
      </c>
      <c r="B312">
        <f>'Shipment Data for Provisioning'!C317</f>
        <v>0</v>
      </c>
      <c r="C312">
        <f>'Shipment Data for Provisioning'!D317</f>
        <v>0</v>
      </c>
      <c r="D312">
        <f>'Shipment Data for Provisioning'!E317</f>
        <v>0</v>
      </c>
      <c r="E312">
        <f>'Shipment Data for Provisioning'!F317</f>
        <v>0</v>
      </c>
      <c r="F312">
        <f>'Shipment Data for Provisioning'!G317</f>
        <v>0</v>
      </c>
      <c r="G312">
        <f>'Shipment Data for Provisioning'!H317</f>
        <v>0</v>
      </c>
      <c r="H312">
        <f>'Shipment Data for Provisioning'!I317</f>
        <v>0</v>
      </c>
      <c r="I312" t="e">
        <f>VLOOKUP(B312,'Location Data'!$C$5:$G$1004,4,FALSE)</f>
        <v>#N/A</v>
      </c>
      <c r="J312" t="e">
        <f>VLOOKUP(B312,'Location Data'!$C$5:$G$1004,5,FALSE)</f>
        <v>#N/A</v>
      </c>
      <c r="K312" t="e">
        <f>VLOOKUP(C312,'Location Data'!$C$5:$G$1004,4,FALSE)</f>
        <v>#N/A</v>
      </c>
      <c r="L312" t="e">
        <f>VLOOKUP(C312,'Location Data'!$C$5:$G$1004,5,FALSE)</f>
        <v>#N/A</v>
      </c>
    </row>
    <row r="313" spans="1:12" x14ac:dyDescent="0.2">
      <c r="A313">
        <f>'Shipment Data for Provisioning'!B318</f>
        <v>0</v>
      </c>
      <c r="B313">
        <f>'Shipment Data for Provisioning'!C318</f>
        <v>0</v>
      </c>
      <c r="C313">
        <f>'Shipment Data for Provisioning'!D318</f>
        <v>0</v>
      </c>
      <c r="D313">
        <f>'Shipment Data for Provisioning'!E318</f>
        <v>0</v>
      </c>
      <c r="E313">
        <f>'Shipment Data for Provisioning'!F318</f>
        <v>0</v>
      </c>
      <c r="F313">
        <f>'Shipment Data for Provisioning'!G318</f>
        <v>0</v>
      </c>
      <c r="G313">
        <f>'Shipment Data for Provisioning'!H318</f>
        <v>0</v>
      </c>
      <c r="H313">
        <f>'Shipment Data for Provisioning'!I318</f>
        <v>0</v>
      </c>
      <c r="I313" t="e">
        <f>VLOOKUP(B313,'Location Data'!$C$5:$G$1004,4,FALSE)</f>
        <v>#N/A</v>
      </c>
      <c r="J313" t="e">
        <f>VLOOKUP(B313,'Location Data'!$C$5:$G$1004,5,FALSE)</f>
        <v>#N/A</v>
      </c>
      <c r="K313" t="e">
        <f>VLOOKUP(C313,'Location Data'!$C$5:$G$1004,4,FALSE)</f>
        <v>#N/A</v>
      </c>
      <c r="L313" t="e">
        <f>VLOOKUP(C313,'Location Data'!$C$5:$G$1004,5,FALSE)</f>
        <v>#N/A</v>
      </c>
    </row>
    <row r="314" spans="1:12" x14ac:dyDescent="0.2">
      <c r="A314">
        <f>'Shipment Data for Provisioning'!B319</f>
        <v>0</v>
      </c>
      <c r="B314">
        <f>'Shipment Data for Provisioning'!C319</f>
        <v>0</v>
      </c>
      <c r="C314">
        <f>'Shipment Data for Provisioning'!D319</f>
        <v>0</v>
      </c>
      <c r="D314">
        <f>'Shipment Data for Provisioning'!E319</f>
        <v>0</v>
      </c>
      <c r="E314">
        <f>'Shipment Data for Provisioning'!F319</f>
        <v>0</v>
      </c>
      <c r="F314">
        <f>'Shipment Data for Provisioning'!G319</f>
        <v>0</v>
      </c>
      <c r="G314">
        <f>'Shipment Data for Provisioning'!H319</f>
        <v>0</v>
      </c>
      <c r="H314">
        <f>'Shipment Data for Provisioning'!I319</f>
        <v>0</v>
      </c>
      <c r="I314" t="e">
        <f>VLOOKUP(B314,'Location Data'!$C$5:$G$1004,4,FALSE)</f>
        <v>#N/A</v>
      </c>
      <c r="J314" t="e">
        <f>VLOOKUP(B314,'Location Data'!$C$5:$G$1004,5,FALSE)</f>
        <v>#N/A</v>
      </c>
      <c r="K314" t="e">
        <f>VLOOKUP(C314,'Location Data'!$C$5:$G$1004,4,FALSE)</f>
        <v>#N/A</v>
      </c>
      <c r="L314" t="e">
        <f>VLOOKUP(C314,'Location Data'!$C$5:$G$1004,5,FALSE)</f>
        <v>#N/A</v>
      </c>
    </row>
    <row r="315" spans="1:12" x14ac:dyDescent="0.2">
      <c r="A315">
        <f>'Shipment Data for Provisioning'!B320</f>
        <v>0</v>
      </c>
      <c r="B315">
        <f>'Shipment Data for Provisioning'!C320</f>
        <v>0</v>
      </c>
      <c r="C315">
        <f>'Shipment Data for Provisioning'!D320</f>
        <v>0</v>
      </c>
      <c r="D315">
        <f>'Shipment Data for Provisioning'!E320</f>
        <v>0</v>
      </c>
      <c r="E315">
        <f>'Shipment Data for Provisioning'!F320</f>
        <v>0</v>
      </c>
      <c r="F315">
        <f>'Shipment Data for Provisioning'!G320</f>
        <v>0</v>
      </c>
      <c r="G315">
        <f>'Shipment Data for Provisioning'!H320</f>
        <v>0</v>
      </c>
      <c r="H315">
        <f>'Shipment Data for Provisioning'!I320</f>
        <v>0</v>
      </c>
      <c r="I315" t="e">
        <f>VLOOKUP(B315,'Location Data'!$C$5:$G$1004,4,FALSE)</f>
        <v>#N/A</v>
      </c>
      <c r="J315" t="e">
        <f>VLOOKUP(B315,'Location Data'!$C$5:$G$1004,5,FALSE)</f>
        <v>#N/A</v>
      </c>
      <c r="K315" t="e">
        <f>VLOOKUP(C315,'Location Data'!$C$5:$G$1004,4,FALSE)</f>
        <v>#N/A</v>
      </c>
      <c r="L315" t="e">
        <f>VLOOKUP(C315,'Location Data'!$C$5:$G$1004,5,FALSE)</f>
        <v>#N/A</v>
      </c>
    </row>
    <row r="316" spans="1:12" x14ac:dyDescent="0.2">
      <c r="A316">
        <f>'Shipment Data for Provisioning'!B321</f>
        <v>0</v>
      </c>
      <c r="B316">
        <f>'Shipment Data for Provisioning'!C321</f>
        <v>0</v>
      </c>
      <c r="C316">
        <f>'Shipment Data for Provisioning'!D321</f>
        <v>0</v>
      </c>
      <c r="D316">
        <f>'Shipment Data for Provisioning'!E321</f>
        <v>0</v>
      </c>
      <c r="E316">
        <f>'Shipment Data for Provisioning'!F321</f>
        <v>0</v>
      </c>
      <c r="F316">
        <f>'Shipment Data for Provisioning'!G321</f>
        <v>0</v>
      </c>
      <c r="G316">
        <f>'Shipment Data for Provisioning'!H321</f>
        <v>0</v>
      </c>
      <c r="H316">
        <f>'Shipment Data for Provisioning'!I321</f>
        <v>0</v>
      </c>
      <c r="I316" t="e">
        <f>VLOOKUP(B316,'Location Data'!$C$5:$G$1004,4,FALSE)</f>
        <v>#N/A</v>
      </c>
      <c r="J316" t="e">
        <f>VLOOKUP(B316,'Location Data'!$C$5:$G$1004,5,FALSE)</f>
        <v>#N/A</v>
      </c>
      <c r="K316" t="e">
        <f>VLOOKUP(C316,'Location Data'!$C$5:$G$1004,4,FALSE)</f>
        <v>#N/A</v>
      </c>
      <c r="L316" t="e">
        <f>VLOOKUP(C316,'Location Data'!$C$5:$G$1004,5,FALSE)</f>
        <v>#N/A</v>
      </c>
    </row>
    <row r="317" spans="1:12" x14ac:dyDescent="0.2">
      <c r="A317">
        <f>'Shipment Data for Provisioning'!B322</f>
        <v>0</v>
      </c>
      <c r="B317">
        <f>'Shipment Data for Provisioning'!C322</f>
        <v>0</v>
      </c>
      <c r="C317">
        <f>'Shipment Data for Provisioning'!D322</f>
        <v>0</v>
      </c>
      <c r="D317">
        <f>'Shipment Data for Provisioning'!E322</f>
        <v>0</v>
      </c>
      <c r="E317">
        <f>'Shipment Data for Provisioning'!F322</f>
        <v>0</v>
      </c>
      <c r="F317">
        <f>'Shipment Data for Provisioning'!G322</f>
        <v>0</v>
      </c>
      <c r="G317">
        <f>'Shipment Data for Provisioning'!H322</f>
        <v>0</v>
      </c>
      <c r="H317">
        <f>'Shipment Data for Provisioning'!I322</f>
        <v>0</v>
      </c>
      <c r="I317" t="e">
        <f>VLOOKUP(B317,'Location Data'!$C$5:$G$1004,4,FALSE)</f>
        <v>#N/A</v>
      </c>
      <c r="J317" t="e">
        <f>VLOOKUP(B317,'Location Data'!$C$5:$G$1004,5,FALSE)</f>
        <v>#N/A</v>
      </c>
      <c r="K317" t="e">
        <f>VLOOKUP(C317,'Location Data'!$C$5:$G$1004,4,FALSE)</f>
        <v>#N/A</v>
      </c>
      <c r="L317" t="e">
        <f>VLOOKUP(C317,'Location Data'!$C$5:$G$1004,5,FALSE)</f>
        <v>#N/A</v>
      </c>
    </row>
    <row r="318" spans="1:12" x14ac:dyDescent="0.2">
      <c r="A318">
        <f>'Shipment Data for Provisioning'!B323</f>
        <v>0</v>
      </c>
      <c r="B318">
        <f>'Shipment Data for Provisioning'!C323</f>
        <v>0</v>
      </c>
      <c r="C318">
        <f>'Shipment Data for Provisioning'!D323</f>
        <v>0</v>
      </c>
      <c r="D318">
        <f>'Shipment Data for Provisioning'!E323</f>
        <v>0</v>
      </c>
      <c r="E318">
        <f>'Shipment Data for Provisioning'!F323</f>
        <v>0</v>
      </c>
      <c r="F318">
        <f>'Shipment Data for Provisioning'!G323</f>
        <v>0</v>
      </c>
      <c r="G318">
        <f>'Shipment Data for Provisioning'!H323</f>
        <v>0</v>
      </c>
      <c r="H318">
        <f>'Shipment Data for Provisioning'!I323</f>
        <v>0</v>
      </c>
      <c r="I318" t="e">
        <f>VLOOKUP(B318,'Location Data'!$C$5:$G$1004,4,FALSE)</f>
        <v>#N/A</v>
      </c>
      <c r="J318" t="e">
        <f>VLOOKUP(B318,'Location Data'!$C$5:$G$1004,5,FALSE)</f>
        <v>#N/A</v>
      </c>
      <c r="K318" t="e">
        <f>VLOOKUP(C318,'Location Data'!$C$5:$G$1004,4,FALSE)</f>
        <v>#N/A</v>
      </c>
      <c r="L318" t="e">
        <f>VLOOKUP(C318,'Location Data'!$C$5:$G$1004,5,FALSE)</f>
        <v>#N/A</v>
      </c>
    </row>
    <row r="319" spans="1:12" x14ac:dyDescent="0.2">
      <c r="A319">
        <f>'Shipment Data for Provisioning'!B324</f>
        <v>0</v>
      </c>
      <c r="B319">
        <f>'Shipment Data for Provisioning'!C324</f>
        <v>0</v>
      </c>
      <c r="C319">
        <f>'Shipment Data for Provisioning'!D324</f>
        <v>0</v>
      </c>
      <c r="D319">
        <f>'Shipment Data for Provisioning'!E324</f>
        <v>0</v>
      </c>
      <c r="E319">
        <f>'Shipment Data for Provisioning'!F324</f>
        <v>0</v>
      </c>
      <c r="F319">
        <f>'Shipment Data for Provisioning'!G324</f>
        <v>0</v>
      </c>
      <c r="G319">
        <f>'Shipment Data for Provisioning'!H324</f>
        <v>0</v>
      </c>
      <c r="H319">
        <f>'Shipment Data for Provisioning'!I324</f>
        <v>0</v>
      </c>
      <c r="I319" t="e">
        <f>VLOOKUP(B319,'Location Data'!$C$5:$G$1004,4,FALSE)</f>
        <v>#N/A</v>
      </c>
      <c r="J319" t="e">
        <f>VLOOKUP(B319,'Location Data'!$C$5:$G$1004,5,FALSE)</f>
        <v>#N/A</v>
      </c>
      <c r="K319" t="e">
        <f>VLOOKUP(C319,'Location Data'!$C$5:$G$1004,4,FALSE)</f>
        <v>#N/A</v>
      </c>
      <c r="L319" t="e">
        <f>VLOOKUP(C319,'Location Data'!$C$5:$G$1004,5,FALSE)</f>
        <v>#N/A</v>
      </c>
    </row>
    <row r="320" spans="1:12" x14ac:dyDescent="0.2">
      <c r="A320">
        <f>'Shipment Data for Provisioning'!B325</f>
        <v>0</v>
      </c>
      <c r="B320">
        <f>'Shipment Data for Provisioning'!C325</f>
        <v>0</v>
      </c>
      <c r="C320">
        <f>'Shipment Data for Provisioning'!D325</f>
        <v>0</v>
      </c>
      <c r="D320">
        <f>'Shipment Data for Provisioning'!E325</f>
        <v>0</v>
      </c>
      <c r="E320">
        <f>'Shipment Data for Provisioning'!F325</f>
        <v>0</v>
      </c>
      <c r="F320">
        <f>'Shipment Data for Provisioning'!G325</f>
        <v>0</v>
      </c>
      <c r="G320">
        <f>'Shipment Data for Provisioning'!H325</f>
        <v>0</v>
      </c>
      <c r="H320">
        <f>'Shipment Data for Provisioning'!I325</f>
        <v>0</v>
      </c>
      <c r="I320" t="e">
        <f>VLOOKUP(B320,'Location Data'!$C$5:$G$1004,4,FALSE)</f>
        <v>#N/A</v>
      </c>
      <c r="J320" t="e">
        <f>VLOOKUP(B320,'Location Data'!$C$5:$G$1004,5,FALSE)</f>
        <v>#N/A</v>
      </c>
      <c r="K320" t="e">
        <f>VLOOKUP(C320,'Location Data'!$C$5:$G$1004,4,FALSE)</f>
        <v>#N/A</v>
      </c>
      <c r="L320" t="e">
        <f>VLOOKUP(C320,'Location Data'!$C$5:$G$1004,5,FALSE)</f>
        <v>#N/A</v>
      </c>
    </row>
    <row r="321" spans="1:12" x14ac:dyDescent="0.2">
      <c r="A321">
        <f>'Shipment Data for Provisioning'!B326</f>
        <v>0</v>
      </c>
      <c r="B321">
        <f>'Shipment Data for Provisioning'!C326</f>
        <v>0</v>
      </c>
      <c r="C321">
        <f>'Shipment Data for Provisioning'!D326</f>
        <v>0</v>
      </c>
      <c r="D321">
        <f>'Shipment Data for Provisioning'!E326</f>
        <v>0</v>
      </c>
      <c r="E321">
        <f>'Shipment Data for Provisioning'!F326</f>
        <v>0</v>
      </c>
      <c r="F321">
        <f>'Shipment Data for Provisioning'!G326</f>
        <v>0</v>
      </c>
      <c r="G321">
        <f>'Shipment Data for Provisioning'!H326</f>
        <v>0</v>
      </c>
      <c r="H321">
        <f>'Shipment Data for Provisioning'!I326</f>
        <v>0</v>
      </c>
      <c r="I321" t="e">
        <f>VLOOKUP(B321,'Location Data'!$C$5:$G$1004,4,FALSE)</f>
        <v>#N/A</v>
      </c>
      <c r="J321" t="e">
        <f>VLOOKUP(B321,'Location Data'!$C$5:$G$1004,5,FALSE)</f>
        <v>#N/A</v>
      </c>
      <c r="K321" t="e">
        <f>VLOOKUP(C321,'Location Data'!$C$5:$G$1004,4,FALSE)</f>
        <v>#N/A</v>
      </c>
      <c r="L321" t="e">
        <f>VLOOKUP(C321,'Location Data'!$C$5:$G$1004,5,FALSE)</f>
        <v>#N/A</v>
      </c>
    </row>
    <row r="322" spans="1:12" x14ac:dyDescent="0.2">
      <c r="A322">
        <f>'Shipment Data for Provisioning'!B327</f>
        <v>0</v>
      </c>
      <c r="B322">
        <f>'Shipment Data for Provisioning'!C327</f>
        <v>0</v>
      </c>
      <c r="C322">
        <f>'Shipment Data for Provisioning'!D327</f>
        <v>0</v>
      </c>
      <c r="D322">
        <f>'Shipment Data for Provisioning'!E327</f>
        <v>0</v>
      </c>
      <c r="E322">
        <f>'Shipment Data for Provisioning'!F327</f>
        <v>0</v>
      </c>
      <c r="F322">
        <f>'Shipment Data for Provisioning'!G327</f>
        <v>0</v>
      </c>
      <c r="G322">
        <f>'Shipment Data for Provisioning'!H327</f>
        <v>0</v>
      </c>
      <c r="H322">
        <f>'Shipment Data for Provisioning'!I327</f>
        <v>0</v>
      </c>
      <c r="I322" t="e">
        <f>VLOOKUP(B322,'Location Data'!$C$5:$G$1004,4,FALSE)</f>
        <v>#N/A</v>
      </c>
      <c r="J322" t="e">
        <f>VLOOKUP(B322,'Location Data'!$C$5:$G$1004,5,FALSE)</f>
        <v>#N/A</v>
      </c>
      <c r="K322" t="e">
        <f>VLOOKUP(C322,'Location Data'!$C$5:$G$1004,4,FALSE)</f>
        <v>#N/A</v>
      </c>
      <c r="L322" t="e">
        <f>VLOOKUP(C322,'Location Data'!$C$5:$G$1004,5,FALSE)</f>
        <v>#N/A</v>
      </c>
    </row>
    <row r="323" spans="1:12" x14ac:dyDescent="0.2">
      <c r="A323">
        <f>'Shipment Data for Provisioning'!B328</f>
        <v>0</v>
      </c>
      <c r="B323">
        <f>'Shipment Data for Provisioning'!C328</f>
        <v>0</v>
      </c>
      <c r="C323">
        <f>'Shipment Data for Provisioning'!D328</f>
        <v>0</v>
      </c>
      <c r="D323">
        <f>'Shipment Data for Provisioning'!E328</f>
        <v>0</v>
      </c>
      <c r="E323">
        <f>'Shipment Data for Provisioning'!F328</f>
        <v>0</v>
      </c>
      <c r="F323">
        <f>'Shipment Data for Provisioning'!G328</f>
        <v>0</v>
      </c>
      <c r="G323">
        <f>'Shipment Data for Provisioning'!H328</f>
        <v>0</v>
      </c>
      <c r="H323">
        <f>'Shipment Data for Provisioning'!I328</f>
        <v>0</v>
      </c>
      <c r="I323" t="e">
        <f>VLOOKUP(B323,'Location Data'!$C$5:$G$1004,4,FALSE)</f>
        <v>#N/A</v>
      </c>
      <c r="J323" t="e">
        <f>VLOOKUP(B323,'Location Data'!$C$5:$G$1004,5,FALSE)</f>
        <v>#N/A</v>
      </c>
      <c r="K323" t="e">
        <f>VLOOKUP(C323,'Location Data'!$C$5:$G$1004,4,FALSE)</f>
        <v>#N/A</v>
      </c>
      <c r="L323" t="e">
        <f>VLOOKUP(C323,'Location Data'!$C$5:$G$1004,5,FALSE)</f>
        <v>#N/A</v>
      </c>
    </row>
    <row r="324" spans="1:12" x14ac:dyDescent="0.2">
      <c r="A324">
        <f>'Shipment Data for Provisioning'!B329</f>
        <v>0</v>
      </c>
      <c r="B324">
        <f>'Shipment Data for Provisioning'!C329</f>
        <v>0</v>
      </c>
      <c r="C324">
        <f>'Shipment Data for Provisioning'!D329</f>
        <v>0</v>
      </c>
      <c r="D324">
        <f>'Shipment Data for Provisioning'!E329</f>
        <v>0</v>
      </c>
      <c r="E324">
        <f>'Shipment Data for Provisioning'!F329</f>
        <v>0</v>
      </c>
      <c r="F324">
        <f>'Shipment Data for Provisioning'!G329</f>
        <v>0</v>
      </c>
      <c r="G324">
        <f>'Shipment Data for Provisioning'!H329</f>
        <v>0</v>
      </c>
      <c r="H324">
        <f>'Shipment Data for Provisioning'!I329</f>
        <v>0</v>
      </c>
      <c r="I324" t="e">
        <f>VLOOKUP(B324,'Location Data'!$C$5:$G$1004,4,FALSE)</f>
        <v>#N/A</v>
      </c>
      <c r="J324" t="e">
        <f>VLOOKUP(B324,'Location Data'!$C$5:$G$1004,5,FALSE)</f>
        <v>#N/A</v>
      </c>
      <c r="K324" t="e">
        <f>VLOOKUP(C324,'Location Data'!$C$5:$G$1004,4,FALSE)</f>
        <v>#N/A</v>
      </c>
      <c r="L324" t="e">
        <f>VLOOKUP(C324,'Location Data'!$C$5:$G$1004,5,FALSE)</f>
        <v>#N/A</v>
      </c>
    </row>
    <row r="325" spans="1:12" x14ac:dyDescent="0.2">
      <c r="A325">
        <f>'Shipment Data for Provisioning'!B330</f>
        <v>0</v>
      </c>
      <c r="B325">
        <f>'Shipment Data for Provisioning'!C330</f>
        <v>0</v>
      </c>
      <c r="C325">
        <f>'Shipment Data for Provisioning'!D330</f>
        <v>0</v>
      </c>
      <c r="D325">
        <f>'Shipment Data for Provisioning'!E330</f>
        <v>0</v>
      </c>
      <c r="E325">
        <f>'Shipment Data for Provisioning'!F330</f>
        <v>0</v>
      </c>
      <c r="F325">
        <f>'Shipment Data for Provisioning'!G330</f>
        <v>0</v>
      </c>
      <c r="G325">
        <f>'Shipment Data for Provisioning'!H330</f>
        <v>0</v>
      </c>
      <c r="H325">
        <f>'Shipment Data for Provisioning'!I330</f>
        <v>0</v>
      </c>
      <c r="I325" t="e">
        <f>VLOOKUP(B325,'Location Data'!$C$5:$G$1004,4,FALSE)</f>
        <v>#N/A</v>
      </c>
      <c r="J325" t="e">
        <f>VLOOKUP(B325,'Location Data'!$C$5:$G$1004,5,FALSE)</f>
        <v>#N/A</v>
      </c>
      <c r="K325" t="e">
        <f>VLOOKUP(C325,'Location Data'!$C$5:$G$1004,4,FALSE)</f>
        <v>#N/A</v>
      </c>
      <c r="L325" t="e">
        <f>VLOOKUP(C325,'Location Data'!$C$5:$G$1004,5,FALSE)</f>
        <v>#N/A</v>
      </c>
    </row>
    <row r="326" spans="1:12" x14ac:dyDescent="0.2">
      <c r="A326">
        <f>'Shipment Data for Provisioning'!B331</f>
        <v>0</v>
      </c>
      <c r="B326">
        <f>'Shipment Data for Provisioning'!C331</f>
        <v>0</v>
      </c>
      <c r="C326">
        <f>'Shipment Data for Provisioning'!D331</f>
        <v>0</v>
      </c>
      <c r="D326">
        <f>'Shipment Data for Provisioning'!E331</f>
        <v>0</v>
      </c>
      <c r="E326">
        <f>'Shipment Data for Provisioning'!F331</f>
        <v>0</v>
      </c>
      <c r="F326">
        <f>'Shipment Data for Provisioning'!G331</f>
        <v>0</v>
      </c>
      <c r="G326">
        <f>'Shipment Data for Provisioning'!H331</f>
        <v>0</v>
      </c>
      <c r="H326">
        <f>'Shipment Data for Provisioning'!I331</f>
        <v>0</v>
      </c>
      <c r="I326" t="e">
        <f>VLOOKUP(B326,'Location Data'!$C$5:$G$1004,4,FALSE)</f>
        <v>#N/A</v>
      </c>
      <c r="J326" t="e">
        <f>VLOOKUP(B326,'Location Data'!$C$5:$G$1004,5,FALSE)</f>
        <v>#N/A</v>
      </c>
      <c r="K326" t="e">
        <f>VLOOKUP(C326,'Location Data'!$C$5:$G$1004,4,FALSE)</f>
        <v>#N/A</v>
      </c>
      <c r="L326" t="e">
        <f>VLOOKUP(C326,'Location Data'!$C$5:$G$1004,5,FALSE)</f>
        <v>#N/A</v>
      </c>
    </row>
    <row r="327" spans="1:12" x14ac:dyDescent="0.2">
      <c r="A327">
        <f>'Shipment Data for Provisioning'!B332</f>
        <v>0</v>
      </c>
      <c r="B327">
        <f>'Shipment Data for Provisioning'!C332</f>
        <v>0</v>
      </c>
      <c r="C327">
        <f>'Shipment Data for Provisioning'!D332</f>
        <v>0</v>
      </c>
      <c r="D327">
        <f>'Shipment Data for Provisioning'!E332</f>
        <v>0</v>
      </c>
      <c r="E327">
        <f>'Shipment Data for Provisioning'!F332</f>
        <v>0</v>
      </c>
      <c r="F327">
        <f>'Shipment Data for Provisioning'!G332</f>
        <v>0</v>
      </c>
      <c r="G327">
        <f>'Shipment Data for Provisioning'!H332</f>
        <v>0</v>
      </c>
      <c r="H327">
        <f>'Shipment Data for Provisioning'!I332</f>
        <v>0</v>
      </c>
      <c r="I327" t="e">
        <f>VLOOKUP(B327,'Location Data'!$C$5:$G$1004,4,FALSE)</f>
        <v>#N/A</v>
      </c>
      <c r="J327" t="e">
        <f>VLOOKUP(B327,'Location Data'!$C$5:$G$1004,5,FALSE)</f>
        <v>#N/A</v>
      </c>
      <c r="K327" t="e">
        <f>VLOOKUP(C327,'Location Data'!$C$5:$G$1004,4,FALSE)</f>
        <v>#N/A</v>
      </c>
      <c r="L327" t="e">
        <f>VLOOKUP(C327,'Location Data'!$C$5:$G$1004,5,FALSE)</f>
        <v>#N/A</v>
      </c>
    </row>
    <row r="328" spans="1:12" x14ac:dyDescent="0.2">
      <c r="A328">
        <f>'Shipment Data for Provisioning'!B333</f>
        <v>0</v>
      </c>
      <c r="B328">
        <f>'Shipment Data for Provisioning'!C333</f>
        <v>0</v>
      </c>
      <c r="C328">
        <f>'Shipment Data for Provisioning'!D333</f>
        <v>0</v>
      </c>
      <c r="D328">
        <f>'Shipment Data for Provisioning'!E333</f>
        <v>0</v>
      </c>
      <c r="E328">
        <f>'Shipment Data for Provisioning'!F333</f>
        <v>0</v>
      </c>
      <c r="F328">
        <f>'Shipment Data for Provisioning'!G333</f>
        <v>0</v>
      </c>
      <c r="G328">
        <f>'Shipment Data for Provisioning'!H333</f>
        <v>0</v>
      </c>
      <c r="H328">
        <f>'Shipment Data for Provisioning'!I333</f>
        <v>0</v>
      </c>
      <c r="I328" t="e">
        <f>VLOOKUP(B328,'Location Data'!$C$5:$G$1004,4,FALSE)</f>
        <v>#N/A</v>
      </c>
      <c r="J328" t="e">
        <f>VLOOKUP(B328,'Location Data'!$C$5:$G$1004,5,FALSE)</f>
        <v>#N/A</v>
      </c>
      <c r="K328" t="e">
        <f>VLOOKUP(C328,'Location Data'!$C$5:$G$1004,4,FALSE)</f>
        <v>#N/A</v>
      </c>
      <c r="L328" t="e">
        <f>VLOOKUP(C328,'Location Data'!$C$5:$G$1004,5,FALSE)</f>
        <v>#N/A</v>
      </c>
    </row>
    <row r="329" spans="1:12" x14ac:dyDescent="0.2">
      <c r="A329">
        <f>'Shipment Data for Provisioning'!B334</f>
        <v>0</v>
      </c>
      <c r="B329">
        <f>'Shipment Data for Provisioning'!C334</f>
        <v>0</v>
      </c>
      <c r="C329">
        <f>'Shipment Data for Provisioning'!D334</f>
        <v>0</v>
      </c>
      <c r="D329">
        <f>'Shipment Data for Provisioning'!E334</f>
        <v>0</v>
      </c>
      <c r="E329">
        <f>'Shipment Data for Provisioning'!F334</f>
        <v>0</v>
      </c>
      <c r="F329">
        <f>'Shipment Data for Provisioning'!G334</f>
        <v>0</v>
      </c>
      <c r="G329">
        <f>'Shipment Data for Provisioning'!H334</f>
        <v>0</v>
      </c>
      <c r="H329">
        <f>'Shipment Data for Provisioning'!I334</f>
        <v>0</v>
      </c>
      <c r="I329" t="e">
        <f>VLOOKUP(B329,'Location Data'!$C$5:$G$1004,4,FALSE)</f>
        <v>#N/A</v>
      </c>
      <c r="J329" t="e">
        <f>VLOOKUP(B329,'Location Data'!$C$5:$G$1004,5,FALSE)</f>
        <v>#N/A</v>
      </c>
      <c r="K329" t="e">
        <f>VLOOKUP(C329,'Location Data'!$C$5:$G$1004,4,FALSE)</f>
        <v>#N/A</v>
      </c>
      <c r="L329" t="e">
        <f>VLOOKUP(C329,'Location Data'!$C$5:$G$1004,5,FALSE)</f>
        <v>#N/A</v>
      </c>
    </row>
    <row r="330" spans="1:12" x14ac:dyDescent="0.2">
      <c r="A330">
        <f>'Shipment Data for Provisioning'!B335</f>
        <v>0</v>
      </c>
      <c r="B330">
        <f>'Shipment Data for Provisioning'!C335</f>
        <v>0</v>
      </c>
      <c r="C330">
        <f>'Shipment Data for Provisioning'!D335</f>
        <v>0</v>
      </c>
      <c r="D330">
        <f>'Shipment Data for Provisioning'!E335</f>
        <v>0</v>
      </c>
      <c r="E330">
        <f>'Shipment Data for Provisioning'!F335</f>
        <v>0</v>
      </c>
      <c r="F330">
        <f>'Shipment Data for Provisioning'!G335</f>
        <v>0</v>
      </c>
      <c r="G330">
        <f>'Shipment Data for Provisioning'!H335</f>
        <v>0</v>
      </c>
      <c r="H330">
        <f>'Shipment Data for Provisioning'!I335</f>
        <v>0</v>
      </c>
      <c r="I330" t="e">
        <f>VLOOKUP(B330,'Location Data'!$C$5:$G$1004,4,FALSE)</f>
        <v>#N/A</v>
      </c>
      <c r="J330" t="e">
        <f>VLOOKUP(B330,'Location Data'!$C$5:$G$1004,5,FALSE)</f>
        <v>#N/A</v>
      </c>
      <c r="K330" t="e">
        <f>VLOOKUP(C330,'Location Data'!$C$5:$G$1004,4,FALSE)</f>
        <v>#N/A</v>
      </c>
      <c r="L330" t="e">
        <f>VLOOKUP(C330,'Location Data'!$C$5:$G$1004,5,FALSE)</f>
        <v>#N/A</v>
      </c>
    </row>
    <row r="331" spans="1:12" x14ac:dyDescent="0.2">
      <c r="A331">
        <f>'Shipment Data for Provisioning'!B336</f>
        <v>0</v>
      </c>
      <c r="B331">
        <f>'Shipment Data for Provisioning'!C336</f>
        <v>0</v>
      </c>
      <c r="C331">
        <f>'Shipment Data for Provisioning'!D336</f>
        <v>0</v>
      </c>
      <c r="D331">
        <f>'Shipment Data for Provisioning'!E336</f>
        <v>0</v>
      </c>
      <c r="E331">
        <f>'Shipment Data for Provisioning'!F336</f>
        <v>0</v>
      </c>
      <c r="F331">
        <f>'Shipment Data for Provisioning'!G336</f>
        <v>0</v>
      </c>
      <c r="G331">
        <f>'Shipment Data for Provisioning'!H336</f>
        <v>0</v>
      </c>
      <c r="H331">
        <f>'Shipment Data for Provisioning'!I336</f>
        <v>0</v>
      </c>
      <c r="I331" t="e">
        <f>VLOOKUP(B331,'Location Data'!$C$5:$G$1004,4,FALSE)</f>
        <v>#N/A</v>
      </c>
      <c r="J331" t="e">
        <f>VLOOKUP(B331,'Location Data'!$C$5:$G$1004,5,FALSE)</f>
        <v>#N/A</v>
      </c>
      <c r="K331" t="e">
        <f>VLOOKUP(C331,'Location Data'!$C$5:$G$1004,4,FALSE)</f>
        <v>#N/A</v>
      </c>
      <c r="L331" t="e">
        <f>VLOOKUP(C331,'Location Data'!$C$5:$G$1004,5,FALSE)</f>
        <v>#N/A</v>
      </c>
    </row>
    <row r="332" spans="1:12" x14ac:dyDescent="0.2">
      <c r="A332">
        <f>'Shipment Data for Provisioning'!B337</f>
        <v>0</v>
      </c>
      <c r="B332">
        <f>'Shipment Data for Provisioning'!C337</f>
        <v>0</v>
      </c>
      <c r="C332">
        <f>'Shipment Data for Provisioning'!D337</f>
        <v>0</v>
      </c>
      <c r="D332">
        <f>'Shipment Data for Provisioning'!E337</f>
        <v>0</v>
      </c>
      <c r="E332">
        <f>'Shipment Data for Provisioning'!F337</f>
        <v>0</v>
      </c>
      <c r="F332">
        <f>'Shipment Data for Provisioning'!G337</f>
        <v>0</v>
      </c>
      <c r="G332">
        <f>'Shipment Data for Provisioning'!H337</f>
        <v>0</v>
      </c>
      <c r="H332">
        <f>'Shipment Data for Provisioning'!I337</f>
        <v>0</v>
      </c>
      <c r="I332" t="e">
        <f>VLOOKUP(B332,'Location Data'!$C$5:$G$1004,4,FALSE)</f>
        <v>#N/A</v>
      </c>
      <c r="J332" t="e">
        <f>VLOOKUP(B332,'Location Data'!$C$5:$G$1004,5,FALSE)</f>
        <v>#N/A</v>
      </c>
      <c r="K332" t="e">
        <f>VLOOKUP(C332,'Location Data'!$C$5:$G$1004,4,FALSE)</f>
        <v>#N/A</v>
      </c>
      <c r="L332" t="e">
        <f>VLOOKUP(C332,'Location Data'!$C$5:$G$1004,5,FALSE)</f>
        <v>#N/A</v>
      </c>
    </row>
    <row r="333" spans="1:12" x14ac:dyDescent="0.2">
      <c r="A333">
        <f>'Shipment Data for Provisioning'!B338</f>
        <v>0</v>
      </c>
      <c r="B333">
        <f>'Shipment Data for Provisioning'!C338</f>
        <v>0</v>
      </c>
      <c r="C333">
        <f>'Shipment Data for Provisioning'!D338</f>
        <v>0</v>
      </c>
      <c r="D333">
        <f>'Shipment Data for Provisioning'!E338</f>
        <v>0</v>
      </c>
      <c r="E333">
        <f>'Shipment Data for Provisioning'!F338</f>
        <v>0</v>
      </c>
      <c r="F333">
        <f>'Shipment Data for Provisioning'!G338</f>
        <v>0</v>
      </c>
      <c r="G333">
        <f>'Shipment Data for Provisioning'!H338</f>
        <v>0</v>
      </c>
      <c r="H333">
        <f>'Shipment Data for Provisioning'!I338</f>
        <v>0</v>
      </c>
      <c r="I333" t="e">
        <f>VLOOKUP(B333,'Location Data'!$C$5:$G$1004,4,FALSE)</f>
        <v>#N/A</v>
      </c>
      <c r="J333" t="e">
        <f>VLOOKUP(B333,'Location Data'!$C$5:$G$1004,5,FALSE)</f>
        <v>#N/A</v>
      </c>
      <c r="K333" t="e">
        <f>VLOOKUP(C333,'Location Data'!$C$5:$G$1004,4,FALSE)</f>
        <v>#N/A</v>
      </c>
      <c r="L333" t="e">
        <f>VLOOKUP(C333,'Location Data'!$C$5:$G$1004,5,FALSE)</f>
        <v>#N/A</v>
      </c>
    </row>
    <row r="334" spans="1:12" x14ac:dyDescent="0.2">
      <c r="A334">
        <f>'Shipment Data for Provisioning'!B339</f>
        <v>0</v>
      </c>
      <c r="B334">
        <f>'Shipment Data for Provisioning'!C339</f>
        <v>0</v>
      </c>
      <c r="C334">
        <f>'Shipment Data for Provisioning'!D339</f>
        <v>0</v>
      </c>
      <c r="D334">
        <f>'Shipment Data for Provisioning'!E339</f>
        <v>0</v>
      </c>
      <c r="E334">
        <f>'Shipment Data for Provisioning'!F339</f>
        <v>0</v>
      </c>
      <c r="F334">
        <f>'Shipment Data for Provisioning'!G339</f>
        <v>0</v>
      </c>
      <c r="G334">
        <f>'Shipment Data for Provisioning'!H339</f>
        <v>0</v>
      </c>
      <c r="H334">
        <f>'Shipment Data for Provisioning'!I339</f>
        <v>0</v>
      </c>
      <c r="I334" t="e">
        <f>VLOOKUP(B334,'Location Data'!$C$5:$G$1004,4,FALSE)</f>
        <v>#N/A</v>
      </c>
      <c r="J334" t="e">
        <f>VLOOKUP(B334,'Location Data'!$C$5:$G$1004,5,FALSE)</f>
        <v>#N/A</v>
      </c>
      <c r="K334" t="e">
        <f>VLOOKUP(C334,'Location Data'!$C$5:$G$1004,4,FALSE)</f>
        <v>#N/A</v>
      </c>
      <c r="L334" t="e">
        <f>VLOOKUP(C334,'Location Data'!$C$5:$G$1004,5,FALSE)</f>
        <v>#N/A</v>
      </c>
    </row>
    <row r="335" spans="1:12" x14ac:dyDescent="0.2">
      <c r="A335">
        <f>'Shipment Data for Provisioning'!B340</f>
        <v>0</v>
      </c>
      <c r="B335">
        <f>'Shipment Data for Provisioning'!C340</f>
        <v>0</v>
      </c>
      <c r="C335">
        <f>'Shipment Data for Provisioning'!D340</f>
        <v>0</v>
      </c>
      <c r="D335">
        <f>'Shipment Data for Provisioning'!E340</f>
        <v>0</v>
      </c>
      <c r="E335">
        <f>'Shipment Data for Provisioning'!F340</f>
        <v>0</v>
      </c>
      <c r="F335">
        <f>'Shipment Data for Provisioning'!G340</f>
        <v>0</v>
      </c>
      <c r="G335">
        <f>'Shipment Data for Provisioning'!H340</f>
        <v>0</v>
      </c>
      <c r="H335">
        <f>'Shipment Data for Provisioning'!I340</f>
        <v>0</v>
      </c>
      <c r="I335" t="e">
        <f>VLOOKUP(B335,'Location Data'!$C$5:$G$1004,4,FALSE)</f>
        <v>#N/A</v>
      </c>
      <c r="J335" t="e">
        <f>VLOOKUP(B335,'Location Data'!$C$5:$G$1004,5,FALSE)</f>
        <v>#N/A</v>
      </c>
      <c r="K335" t="e">
        <f>VLOOKUP(C335,'Location Data'!$C$5:$G$1004,4,FALSE)</f>
        <v>#N/A</v>
      </c>
      <c r="L335" t="e">
        <f>VLOOKUP(C335,'Location Data'!$C$5:$G$1004,5,FALSE)</f>
        <v>#N/A</v>
      </c>
    </row>
    <row r="336" spans="1:12" x14ac:dyDescent="0.2">
      <c r="A336">
        <f>'Shipment Data for Provisioning'!B341</f>
        <v>0</v>
      </c>
      <c r="B336">
        <f>'Shipment Data for Provisioning'!C341</f>
        <v>0</v>
      </c>
      <c r="C336">
        <f>'Shipment Data for Provisioning'!D341</f>
        <v>0</v>
      </c>
      <c r="D336">
        <f>'Shipment Data for Provisioning'!E341</f>
        <v>0</v>
      </c>
      <c r="E336">
        <f>'Shipment Data for Provisioning'!F341</f>
        <v>0</v>
      </c>
      <c r="F336">
        <f>'Shipment Data for Provisioning'!G341</f>
        <v>0</v>
      </c>
      <c r="G336">
        <f>'Shipment Data for Provisioning'!H341</f>
        <v>0</v>
      </c>
      <c r="H336">
        <f>'Shipment Data for Provisioning'!I341</f>
        <v>0</v>
      </c>
      <c r="I336" t="e">
        <f>VLOOKUP(B336,'Location Data'!$C$5:$G$1004,4,FALSE)</f>
        <v>#N/A</v>
      </c>
      <c r="J336" t="e">
        <f>VLOOKUP(B336,'Location Data'!$C$5:$G$1004,5,FALSE)</f>
        <v>#N/A</v>
      </c>
      <c r="K336" t="e">
        <f>VLOOKUP(C336,'Location Data'!$C$5:$G$1004,4,FALSE)</f>
        <v>#N/A</v>
      </c>
      <c r="L336" t="e">
        <f>VLOOKUP(C336,'Location Data'!$C$5:$G$1004,5,FALSE)</f>
        <v>#N/A</v>
      </c>
    </row>
    <row r="337" spans="1:12" x14ac:dyDescent="0.2">
      <c r="A337">
        <f>'Shipment Data for Provisioning'!B342</f>
        <v>0</v>
      </c>
      <c r="B337">
        <f>'Shipment Data for Provisioning'!C342</f>
        <v>0</v>
      </c>
      <c r="C337">
        <f>'Shipment Data for Provisioning'!D342</f>
        <v>0</v>
      </c>
      <c r="D337">
        <f>'Shipment Data for Provisioning'!E342</f>
        <v>0</v>
      </c>
      <c r="E337">
        <f>'Shipment Data for Provisioning'!F342</f>
        <v>0</v>
      </c>
      <c r="F337">
        <f>'Shipment Data for Provisioning'!G342</f>
        <v>0</v>
      </c>
      <c r="G337">
        <f>'Shipment Data for Provisioning'!H342</f>
        <v>0</v>
      </c>
      <c r="H337">
        <f>'Shipment Data for Provisioning'!I342</f>
        <v>0</v>
      </c>
      <c r="I337" t="e">
        <f>VLOOKUP(B337,'Location Data'!$C$5:$G$1004,4,FALSE)</f>
        <v>#N/A</v>
      </c>
      <c r="J337" t="e">
        <f>VLOOKUP(B337,'Location Data'!$C$5:$G$1004,5,FALSE)</f>
        <v>#N/A</v>
      </c>
      <c r="K337" t="e">
        <f>VLOOKUP(C337,'Location Data'!$C$5:$G$1004,4,FALSE)</f>
        <v>#N/A</v>
      </c>
      <c r="L337" t="e">
        <f>VLOOKUP(C337,'Location Data'!$C$5:$G$1004,5,FALSE)</f>
        <v>#N/A</v>
      </c>
    </row>
    <row r="338" spans="1:12" x14ac:dyDescent="0.2">
      <c r="A338">
        <f>'Shipment Data for Provisioning'!B343</f>
        <v>0</v>
      </c>
      <c r="B338">
        <f>'Shipment Data for Provisioning'!C343</f>
        <v>0</v>
      </c>
      <c r="C338">
        <f>'Shipment Data for Provisioning'!D343</f>
        <v>0</v>
      </c>
      <c r="D338">
        <f>'Shipment Data for Provisioning'!E343</f>
        <v>0</v>
      </c>
      <c r="E338">
        <f>'Shipment Data for Provisioning'!F343</f>
        <v>0</v>
      </c>
      <c r="F338">
        <f>'Shipment Data for Provisioning'!G343</f>
        <v>0</v>
      </c>
      <c r="G338">
        <f>'Shipment Data for Provisioning'!H343</f>
        <v>0</v>
      </c>
      <c r="H338">
        <f>'Shipment Data for Provisioning'!I343</f>
        <v>0</v>
      </c>
      <c r="I338" t="e">
        <f>VLOOKUP(B338,'Location Data'!$C$5:$G$1004,4,FALSE)</f>
        <v>#N/A</v>
      </c>
      <c r="J338" t="e">
        <f>VLOOKUP(B338,'Location Data'!$C$5:$G$1004,5,FALSE)</f>
        <v>#N/A</v>
      </c>
      <c r="K338" t="e">
        <f>VLOOKUP(C338,'Location Data'!$C$5:$G$1004,4,FALSE)</f>
        <v>#N/A</v>
      </c>
      <c r="L338" t="e">
        <f>VLOOKUP(C338,'Location Data'!$C$5:$G$1004,5,FALSE)</f>
        <v>#N/A</v>
      </c>
    </row>
    <row r="339" spans="1:12" x14ac:dyDescent="0.2">
      <c r="A339">
        <f>'Shipment Data for Provisioning'!B344</f>
        <v>0</v>
      </c>
      <c r="B339">
        <f>'Shipment Data for Provisioning'!C344</f>
        <v>0</v>
      </c>
      <c r="C339">
        <f>'Shipment Data for Provisioning'!D344</f>
        <v>0</v>
      </c>
      <c r="D339">
        <f>'Shipment Data for Provisioning'!E344</f>
        <v>0</v>
      </c>
      <c r="E339">
        <f>'Shipment Data for Provisioning'!F344</f>
        <v>0</v>
      </c>
      <c r="F339">
        <f>'Shipment Data for Provisioning'!G344</f>
        <v>0</v>
      </c>
      <c r="G339">
        <f>'Shipment Data for Provisioning'!H344</f>
        <v>0</v>
      </c>
      <c r="H339">
        <f>'Shipment Data for Provisioning'!I344</f>
        <v>0</v>
      </c>
      <c r="I339" t="e">
        <f>VLOOKUP(B339,'Location Data'!$C$5:$G$1004,4,FALSE)</f>
        <v>#N/A</v>
      </c>
      <c r="J339" t="e">
        <f>VLOOKUP(B339,'Location Data'!$C$5:$G$1004,5,FALSE)</f>
        <v>#N/A</v>
      </c>
      <c r="K339" t="e">
        <f>VLOOKUP(C339,'Location Data'!$C$5:$G$1004,4,FALSE)</f>
        <v>#N/A</v>
      </c>
      <c r="L339" t="e">
        <f>VLOOKUP(C339,'Location Data'!$C$5:$G$1004,5,FALSE)</f>
        <v>#N/A</v>
      </c>
    </row>
    <row r="340" spans="1:12" x14ac:dyDescent="0.2">
      <c r="A340">
        <f>'Shipment Data for Provisioning'!B345</f>
        <v>0</v>
      </c>
      <c r="B340">
        <f>'Shipment Data for Provisioning'!C345</f>
        <v>0</v>
      </c>
      <c r="C340">
        <f>'Shipment Data for Provisioning'!D345</f>
        <v>0</v>
      </c>
      <c r="D340">
        <f>'Shipment Data for Provisioning'!E345</f>
        <v>0</v>
      </c>
      <c r="E340">
        <f>'Shipment Data for Provisioning'!F345</f>
        <v>0</v>
      </c>
      <c r="F340">
        <f>'Shipment Data for Provisioning'!G345</f>
        <v>0</v>
      </c>
      <c r="G340">
        <f>'Shipment Data for Provisioning'!H345</f>
        <v>0</v>
      </c>
      <c r="H340">
        <f>'Shipment Data for Provisioning'!I345</f>
        <v>0</v>
      </c>
      <c r="I340" t="e">
        <f>VLOOKUP(B340,'Location Data'!$C$5:$G$1004,4,FALSE)</f>
        <v>#N/A</v>
      </c>
      <c r="J340" t="e">
        <f>VLOOKUP(B340,'Location Data'!$C$5:$G$1004,5,FALSE)</f>
        <v>#N/A</v>
      </c>
      <c r="K340" t="e">
        <f>VLOOKUP(C340,'Location Data'!$C$5:$G$1004,4,FALSE)</f>
        <v>#N/A</v>
      </c>
      <c r="L340" t="e">
        <f>VLOOKUP(C340,'Location Data'!$C$5:$G$1004,5,FALSE)</f>
        <v>#N/A</v>
      </c>
    </row>
    <row r="341" spans="1:12" x14ac:dyDescent="0.2">
      <c r="A341">
        <f>'Shipment Data for Provisioning'!B346</f>
        <v>0</v>
      </c>
      <c r="B341">
        <f>'Shipment Data for Provisioning'!C346</f>
        <v>0</v>
      </c>
      <c r="C341">
        <f>'Shipment Data for Provisioning'!D346</f>
        <v>0</v>
      </c>
      <c r="D341">
        <f>'Shipment Data for Provisioning'!E346</f>
        <v>0</v>
      </c>
      <c r="E341">
        <f>'Shipment Data for Provisioning'!F346</f>
        <v>0</v>
      </c>
      <c r="F341">
        <f>'Shipment Data for Provisioning'!G346</f>
        <v>0</v>
      </c>
      <c r="G341">
        <f>'Shipment Data for Provisioning'!H346</f>
        <v>0</v>
      </c>
      <c r="H341">
        <f>'Shipment Data for Provisioning'!I346</f>
        <v>0</v>
      </c>
      <c r="I341" t="e">
        <f>VLOOKUP(B341,'Location Data'!$C$5:$G$1004,4,FALSE)</f>
        <v>#N/A</v>
      </c>
      <c r="J341" t="e">
        <f>VLOOKUP(B341,'Location Data'!$C$5:$G$1004,5,FALSE)</f>
        <v>#N/A</v>
      </c>
      <c r="K341" t="e">
        <f>VLOOKUP(C341,'Location Data'!$C$5:$G$1004,4,FALSE)</f>
        <v>#N/A</v>
      </c>
      <c r="L341" t="e">
        <f>VLOOKUP(C341,'Location Data'!$C$5:$G$1004,5,FALSE)</f>
        <v>#N/A</v>
      </c>
    </row>
    <row r="342" spans="1:12" x14ac:dyDescent="0.2">
      <c r="A342">
        <f>'Shipment Data for Provisioning'!B347</f>
        <v>0</v>
      </c>
      <c r="B342">
        <f>'Shipment Data for Provisioning'!C347</f>
        <v>0</v>
      </c>
      <c r="C342">
        <f>'Shipment Data for Provisioning'!D347</f>
        <v>0</v>
      </c>
      <c r="D342">
        <f>'Shipment Data for Provisioning'!E347</f>
        <v>0</v>
      </c>
      <c r="E342">
        <f>'Shipment Data for Provisioning'!F347</f>
        <v>0</v>
      </c>
      <c r="F342">
        <f>'Shipment Data for Provisioning'!G347</f>
        <v>0</v>
      </c>
      <c r="G342">
        <f>'Shipment Data for Provisioning'!H347</f>
        <v>0</v>
      </c>
      <c r="H342">
        <f>'Shipment Data for Provisioning'!I347</f>
        <v>0</v>
      </c>
      <c r="I342" t="e">
        <f>VLOOKUP(B342,'Location Data'!$C$5:$G$1004,4,FALSE)</f>
        <v>#N/A</v>
      </c>
      <c r="J342" t="e">
        <f>VLOOKUP(B342,'Location Data'!$C$5:$G$1004,5,FALSE)</f>
        <v>#N/A</v>
      </c>
      <c r="K342" t="e">
        <f>VLOOKUP(C342,'Location Data'!$C$5:$G$1004,4,FALSE)</f>
        <v>#N/A</v>
      </c>
      <c r="L342" t="e">
        <f>VLOOKUP(C342,'Location Data'!$C$5:$G$1004,5,FALSE)</f>
        <v>#N/A</v>
      </c>
    </row>
    <row r="343" spans="1:12" x14ac:dyDescent="0.2">
      <c r="A343">
        <f>'Shipment Data for Provisioning'!B348</f>
        <v>0</v>
      </c>
      <c r="B343">
        <f>'Shipment Data for Provisioning'!C348</f>
        <v>0</v>
      </c>
      <c r="C343">
        <f>'Shipment Data for Provisioning'!D348</f>
        <v>0</v>
      </c>
      <c r="D343">
        <f>'Shipment Data for Provisioning'!E348</f>
        <v>0</v>
      </c>
      <c r="E343">
        <f>'Shipment Data for Provisioning'!F348</f>
        <v>0</v>
      </c>
      <c r="F343">
        <f>'Shipment Data for Provisioning'!G348</f>
        <v>0</v>
      </c>
      <c r="G343">
        <f>'Shipment Data for Provisioning'!H348</f>
        <v>0</v>
      </c>
      <c r="H343">
        <f>'Shipment Data for Provisioning'!I348</f>
        <v>0</v>
      </c>
      <c r="I343" t="e">
        <f>VLOOKUP(B343,'Location Data'!$C$5:$G$1004,4,FALSE)</f>
        <v>#N/A</v>
      </c>
      <c r="J343" t="e">
        <f>VLOOKUP(B343,'Location Data'!$C$5:$G$1004,5,FALSE)</f>
        <v>#N/A</v>
      </c>
      <c r="K343" t="e">
        <f>VLOOKUP(C343,'Location Data'!$C$5:$G$1004,4,FALSE)</f>
        <v>#N/A</v>
      </c>
      <c r="L343" t="e">
        <f>VLOOKUP(C343,'Location Data'!$C$5:$G$1004,5,FALSE)</f>
        <v>#N/A</v>
      </c>
    </row>
    <row r="344" spans="1:12" x14ac:dyDescent="0.2">
      <c r="A344">
        <f>'Shipment Data for Provisioning'!B349</f>
        <v>0</v>
      </c>
      <c r="B344">
        <f>'Shipment Data for Provisioning'!C349</f>
        <v>0</v>
      </c>
      <c r="C344">
        <f>'Shipment Data for Provisioning'!D349</f>
        <v>0</v>
      </c>
      <c r="D344">
        <f>'Shipment Data for Provisioning'!E349</f>
        <v>0</v>
      </c>
      <c r="E344">
        <f>'Shipment Data for Provisioning'!F349</f>
        <v>0</v>
      </c>
      <c r="F344">
        <f>'Shipment Data for Provisioning'!G349</f>
        <v>0</v>
      </c>
      <c r="G344">
        <f>'Shipment Data for Provisioning'!H349</f>
        <v>0</v>
      </c>
      <c r="H344">
        <f>'Shipment Data for Provisioning'!I349</f>
        <v>0</v>
      </c>
      <c r="I344" t="e">
        <f>VLOOKUP(B344,'Location Data'!$C$5:$G$1004,4,FALSE)</f>
        <v>#N/A</v>
      </c>
      <c r="J344" t="e">
        <f>VLOOKUP(B344,'Location Data'!$C$5:$G$1004,5,FALSE)</f>
        <v>#N/A</v>
      </c>
      <c r="K344" t="e">
        <f>VLOOKUP(C344,'Location Data'!$C$5:$G$1004,4,FALSE)</f>
        <v>#N/A</v>
      </c>
      <c r="L344" t="e">
        <f>VLOOKUP(C344,'Location Data'!$C$5:$G$1004,5,FALSE)</f>
        <v>#N/A</v>
      </c>
    </row>
    <row r="345" spans="1:12" x14ac:dyDescent="0.2">
      <c r="A345">
        <f>'Shipment Data for Provisioning'!B350</f>
        <v>0</v>
      </c>
      <c r="B345">
        <f>'Shipment Data for Provisioning'!C350</f>
        <v>0</v>
      </c>
      <c r="C345">
        <f>'Shipment Data for Provisioning'!D350</f>
        <v>0</v>
      </c>
      <c r="D345">
        <f>'Shipment Data for Provisioning'!E350</f>
        <v>0</v>
      </c>
      <c r="E345">
        <f>'Shipment Data for Provisioning'!F350</f>
        <v>0</v>
      </c>
      <c r="F345">
        <f>'Shipment Data for Provisioning'!G350</f>
        <v>0</v>
      </c>
      <c r="G345">
        <f>'Shipment Data for Provisioning'!H350</f>
        <v>0</v>
      </c>
      <c r="H345">
        <f>'Shipment Data for Provisioning'!I350</f>
        <v>0</v>
      </c>
      <c r="I345" t="e">
        <f>VLOOKUP(B345,'Location Data'!$C$5:$G$1004,4,FALSE)</f>
        <v>#N/A</v>
      </c>
      <c r="J345" t="e">
        <f>VLOOKUP(B345,'Location Data'!$C$5:$G$1004,5,FALSE)</f>
        <v>#N/A</v>
      </c>
      <c r="K345" t="e">
        <f>VLOOKUP(C345,'Location Data'!$C$5:$G$1004,4,FALSE)</f>
        <v>#N/A</v>
      </c>
      <c r="L345" t="e">
        <f>VLOOKUP(C345,'Location Data'!$C$5:$G$1004,5,FALSE)</f>
        <v>#N/A</v>
      </c>
    </row>
    <row r="346" spans="1:12" x14ac:dyDescent="0.2">
      <c r="A346">
        <f>'Shipment Data for Provisioning'!B351</f>
        <v>0</v>
      </c>
      <c r="B346">
        <f>'Shipment Data for Provisioning'!C351</f>
        <v>0</v>
      </c>
      <c r="C346">
        <f>'Shipment Data for Provisioning'!D351</f>
        <v>0</v>
      </c>
      <c r="D346">
        <f>'Shipment Data for Provisioning'!E351</f>
        <v>0</v>
      </c>
      <c r="E346">
        <f>'Shipment Data for Provisioning'!F351</f>
        <v>0</v>
      </c>
      <c r="F346">
        <f>'Shipment Data for Provisioning'!G351</f>
        <v>0</v>
      </c>
      <c r="G346">
        <f>'Shipment Data for Provisioning'!H351</f>
        <v>0</v>
      </c>
      <c r="H346">
        <f>'Shipment Data for Provisioning'!I351</f>
        <v>0</v>
      </c>
      <c r="I346" t="e">
        <f>VLOOKUP(B346,'Location Data'!$C$5:$G$1004,4,FALSE)</f>
        <v>#N/A</v>
      </c>
      <c r="J346" t="e">
        <f>VLOOKUP(B346,'Location Data'!$C$5:$G$1004,5,FALSE)</f>
        <v>#N/A</v>
      </c>
      <c r="K346" t="e">
        <f>VLOOKUP(C346,'Location Data'!$C$5:$G$1004,4,FALSE)</f>
        <v>#N/A</v>
      </c>
      <c r="L346" t="e">
        <f>VLOOKUP(C346,'Location Data'!$C$5:$G$1004,5,FALSE)</f>
        <v>#N/A</v>
      </c>
    </row>
    <row r="347" spans="1:12" x14ac:dyDescent="0.2">
      <c r="A347">
        <f>'Shipment Data for Provisioning'!B352</f>
        <v>0</v>
      </c>
      <c r="B347">
        <f>'Shipment Data for Provisioning'!C352</f>
        <v>0</v>
      </c>
      <c r="C347">
        <f>'Shipment Data for Provisioning'!D352</f>
        <v>0</v>
      </c>
      <c r="D347">
        <f>'Shipment Data for Provisioning'!E352</f>
        <v>0</v>
      </c>
      <c r="E347">
        <f>'Shipment Data for Provisioning'!F352</f>
        <v>0</v>
      </c>
      <c r="F347">
        <f>'Shipment Data for Provisioning'!G352</f>
        <v>0</v>
      </c>
      <c r="G347">
        <f>'Shipment Data for Provisioning'!H352</f>
        <v>0</v>
      </c>
      <c r="H347">
        <f>'Shipment Data for Provisioning'!I352</f>
        <v>0</v>
      </c>
      <c r="I347" t="e">
        <f>VLOOKUP(B347,'Location Data'!$C$5:$G$1004,4,FALSE)</f>
        <v>#N/A</v>
      </c>
      <c r="J347" t="e">
        <f>VLOOKUP(B347,'Location Data'!$C$5:$G$1004,5,FALSE)</f>
        <v>#N/A</v>
      </c>
      <c r="K347" t="e">
        <f>VLOOKUP(C347,'Location Data'!$C$5:$G$1004,4,FALSE)</f>
        <v>#N/A</v>
      </c>
      <c r="L347" t="e">
        <f>VLOOKUP(C347,'Location Data'!$C$5:$G$1004,5,FALSE)</f>
        <v>#N/A</v>
      </c>
    </row>
    <row r="348" spans="1:12" x14ac:dyDescent="0.2">
      <c r="A348">
        <f>'Shipment Data for Provisioning'!B353</f>
        <v>0</v>
      </c>
      <c r="B348">
        <f>'Shipment Data for Provisioning'!C353</f>
        <v>0</v>
      </c>
      <c r="C348">
        <f>'Shipment Data for Provisioning'!D353</f>
        <v>0</v>
      </c>
      <c r="D348">
        <f>'Shipment Data for Provisioning'!E353</f>
        <v>0</v>
      </c>
      <c r="E348">
        <f>'Shipment Data for Provisioning'!F353</f>
        <v>0</v>
      </c>
      <c r="F348">
        <f>'Shipment Data for Provisioning'!G353</f>
        <v>0</v>
      </c>
      <c r="G348">
        <f>'Shipment Data for Provisioning'!H353</f>
        <v>0</v>
      </c>
      <c r="H348">
        <f>'Shipment Data for Provisioning'!I353</f>
        <v>0</v>
      </c>
      <c r="I348" t="e">
        <f>VLOOKUP(B348,'Location Data'!$C$5:$G$1004,4,FALSE)</f>
        <v>#N/A</v>
      </c>
      <c r="J348" t="e">
        <f>VLOOKUP(B348,'Location Data'!$C$5:$G$1004,5,FALSE)</f>
        <v>#N/A</v>
      </c>
      <c r="K348" t="e">
        <f>VLOOKUP(C348,'Location Data'!$C$5:$G$1004,4,FALSE)</f>
        <v>#N/A</v>
      </c>
      <c r="L348" t="e">
        <f>VLOOKUP(C348,'Location Data'!$C$5:$G$1004,5,FALSE)</f>
        <v>#N/A</v>
      </c>
    </row>
    <row r="349" spans="1:12" x14ac:dyDescent="0.2">
      <c r="A349">
        <f>'Shipment Data for Provisioning'!B354</f>
        <v>0</v>
      </c>
      <c r="B349">
        <f>'Shipment Data for Provisioning'!C354</f>
        <v>0</v>
      </c>
      <c r="C349">
        <f>'Shipment Data for Provisioning'!D354</f>
        <v>0</v>
      </c>
      <c r="D349">
        <f>'Shipment Data for Provisioning'!E354</f>
        <v>0</v>
      </c>
      <c r="E349">
        <f>'Shipment Data for Provisioning'!F354</f>
        <v>0</v>
      </c>
      <c r="F349">
        <f>'Shipment Data for Provisioning'!G354</f>
        <v>0</v>
      </c>
      <c r="G349">
        <f>'Shipment Data for Provisioning'!H354</f>
        <v>0</v>
      </c>
      <c r="H349">
        <f>'Shipment Data for Provisioning'!I354</f>
        <v>0</v>
      </c>
      <c r="I349" t="e">
        <f>VLOOKUP(B349,'Location Data'!$C$5:$G$1004,4,FALSE)</f>
        <v>#N/A</v>
      </c>
      <c r="J349" t="e">
        <f>VLOOKUP(B349,'Location Data'!$C$5:$G$1004,5,FALSE)</f>
        <v>#N/A</v>
      </c>
      <c r="K349" t="e">
        <f>VLOOKUP(C349,'Location Data'!$C$5:$G$1004,4,FALSE)</f>
        <v>#N/A</v>
      </c>
      <c r="L349" t="e">
        <f>VLOOKUP(C349,'Location Data'!$C$5:$G$1004,5,FALSE)</f>
        <v>#N/A</v>
      </c>
    </row>
    <row r="350" spans="1:12" x14ac:dyDescent="0.2">
      <c r="A350">
        <f>'Shipment Data for Provisioning'!B355</f>
        <v>0</v>
      </c>
      <c r="B350">
        <f>'Shipment Data for Provisioning'!C355</f>
        <v>0</v>
      </c>
      <c r="C350">
        <f>'Shipment Data for Provisioning'!D355</f>
        <v>0</v>
      </c>
      <c r="D350">
        <f>'Shipment Data for Provisioning'!E355</f>
        <v>0</v>
      </c>
      <c r="E350">
        <f>'Shipment Data for Provisioning'!F355</f>
        <v>0</v>
      </c>
      <c r="F350">
        <f>'Shipment Data for Provisioning'!G355</f>
        <v>0</v>
      </c>
      <c r="G350">
        <f>'Shipment Data for Provisioning'!H355</f>
        <v>0</v>
      </c>
      <c r="H350">
        <f>'Shipment Data for Provisioning'!I355</f>
        <v>0</v>
      </c>
      <c r="I350" t="e">
        <f>VLOOKUP(B350,'Location Data'!$C$5:$G$1004,4,FALSE)</f>
        <v>#N/A</v>
      </c>
      <c r="J350" t="e">
        <f>VLOOKUP(B350,'Location Data'!$C$5:$G$1004,5,FALSE)</f>
        <v>#N/A</v>
      </c>
      <c r="K350" t="e">
        <f>VLOOKUP(C350,'Location Data'!$C$5:$G$1004,4,FALSE)</f>
        <v>#N/A</v>
      </c>
      <c r="L350" t="e">
        <f>VLOOKUP(C350,'Location Data'!$C$5:$G$1004,5,FALSE)</f>
        <v>#N/A</v>
      </c>
    </row>
    <row r="351" spans="1:12" x14ac:dyDescent="0.2">
      <c r="A351">
        <f>'Shipment Data for Provisioning'!B356</f>
        <v>0</v>
      </c>
      <c r="B351">
        <f>'Shipment Data for Provisioning'!C356</f>
        <v>0</v>
      </c>
      <c r="C351">
        <f>'Shipment Data for Provisioning'!D356</f>
        <v>0</v>
      </c>
      <c r="D351">
        <f>'Shipment Data for Provisioning'!E356</f>
        <v>0</v>
      </c>
      <c r="E351">
        <f>'Shipment Data for Provisioning'!F356</f>
        <v>0</v>
      </c>
      <c r="F351">
        <f>'Shipment Data for Provisioning'!G356</f>
        <v>0</v>
      </c>
      <c r="G351">
        <f>'Shipment Data for Provisioning'!H356</f>
        <v>0</v>
      </c>
      <c r="H351">
        <f>'Shipment Data for Provisioning'!I356</f>
        <v>0</v>
      </c>
      <c r="I351" t="e">
        <f>VLOOKUP(B351,'Location Data'!$C$5:$G$1004,4,FALSE)</f>
        <v>#N/A</v>
      </c>
      <c r="J351" t="e">
        <f>VLOOKUP(B351,'Location Data'!$C$5:$G$1004,5,FALSE)</f>
        <v>#N/A</v>
      </c>
      <c r="K351" t="e">
        <f>VLOOKUP(C351,'Location Data'!$C$5:$G$1004,4,FALSE)</f>
        <v>#N/A</v>
      </c>
      <c r="L351" t="e">
        <f>VLOOKUP(C351,'Location Data'!$C$5:$G$1004,5,FALSE)</f>
        <v>#N/A</v>
      </c>
    </row>
    <row r="352" spans="1:12" x14ac:dyDescent="0.2">
      <c r="A352">
        <f>'Shipment Data for Provisioning'!B357</f>
        <v>0</v>
      </c>
      <c r="B352">
        <f>'Shipment Data for Provisioning'!C357</f>
        <v>0</v>
      </c>
      <c r="C352">
        <f>'Shipment Data for Provisioning'!D357</f>
        <v>0</v>
      </c>
      <c r="D352">
        <f>'Shipment Data for Provisioning'!E357</f>
        <v>0</v>
      </c>
      <c r="E352">
        <f>'Shipment Data for Provisioning'!F357</f>
        <v>0</v>
      </c>
      <c r="F352">
        <f>'Shipment Data for Provisioning'!G357</f>
        <v>0</v>
      </c>
      <c r="G352">
        <f>'Shipment Data for Provisioning'!H357</f>
        <v>0</v>
      </c>
      <c r="H352">
        <f>'Shipment Data for Provisioning'!I357</f>
        <v>0</v>
      </c>
      <c r="I352" t="e">
        <f>VLOOKUP(B352,'Location Data'!$C$5:$G$1004,4,FALSE)</f>
        <v>#N/A</v>
      </c>
      <c r="J352" t="e">
        <f>VLOOKUP(B352,'Location Data'!$C$5:$G$1004,5,FALSE)</f>
        <v>#N/A</v>
      </c>
      <c r="K352" t="e">
        <f>VLOOKUP(C352,'Location Data'!$C$5:$G$1004,4,FALSE)</f>
        <v>#N/A</v>
      </c>
      <c r="L352" t="e">
        <f>VLOOKUP(C352,'Location Data'!$C$5:$G$1004,5,FALSE)</f>
        <v>#N/A</v>
      </c>
    </row>
    <row r="353" spans="1:12" x14ac:dyDescent="0.2">
      <c r="A353">
        <f>'Shipment Data for Provisioning'!B358</f>
        <v>0</v>
      </c>
      <c r="B353">
        <f>'Shipment Data for Provisioning'!C358</f>
        <v>0</v>
      </c>
      <c r="C353">
        <f>'Shipment Data for Provisioning'!D358</f>
        <v>0</v>
      </c>
      <c r="D353">
        <f>'Shipment Data for Provisioning'!E358</f>
        <v>0</v>
      </c>
      <c r="E353">
        <f>'Shipment Data for Provisioning'!F358</f>
        <v>0</v>
      </c>
      <c r="F353">
        <f>'Shipment Data for Provisioning'!G358</f>
        <v>0</v>
      </c>
      <c r="G353">
        <f>'Shipment Data for Provisioning'!H358</f>
        <v>0</v>
      </c>
      <c r="H353">
        <f>'Shipment Data for Provisioning'!I358</f>
        <v>0</v>
      </c>
      <c r="I353" t="e">
        <f>VLOOKUP(B353,'Location Data'!$C$5:$G$1004,4,FALSE)</f>
        <v>#N/A</v>
      </c>
      <c r="J353" t="e">
        <f>VLOOKUP(B353,'Location Data'!$C$5:$G$1004,5,FALSE)</f>
        <v>#N/A</v>
      </c>
      <c r="K353" t="e">
        <f>VLOOKUP(C353,'Location Data'!$C$5:$G$1004,4,FALSE)</f>
        <v>#N/A</v>
      </c>
      <c r="L353" t="e">
        <f>VLOOKUP(C353,'Location Data'!$C$5:$G$1004,5,FALSE)</f>
        <v>#N/A</v>
      </c>
    </row>
    <row r="354" spans="1:12" x14ac:dyDescent="0.2">
      <c r="A354">
        <f>'Shipment Data for Provisioning'!B359</f>
        <v>0</v>
      </c>
      <c r="B354">
        <f>'Shipment Data for Provisioning'!C359</f>
        <v>0</v>
      </c>
      <c r="C354">
        <f>'Shipment Data for Provisioning'!D359</f>
        <v>0</v>
      </c>
      <c r="D354">
        <f>'Shipment Data for Provisioning'!E359</f>
        <v>0</v>
      </c>
      <c r="E354">
        <f>'Shipment Data for Provisioning'!F359</f>
        <v>0</v>
      </c>
      <c r="F354">
        <f>'Shipment Data for Provisioning'!G359</f>
        <v>0</v>
      </c>
      <c r="G354">
        <f>'Shipment Data for Provisioning'!H359</f>
        <v>0</v>
      </c>
      <c r="H354">
        <f>'Shipment Data for Provisioning'!I359</f>
        <v>0</v>
      </c>
      <c r="I354" t="e">
        <f>VLOOKUP(B354,'Location Data'!$C$5:$G$1004,4,FALSE)</f>
        <v>#N/A</v>
      </c>
      <c r="J354" t="e">
        <f>VLOOKUP(B354,'Location Data'!$C$5:$G$1004,5,FALSE)</f>
        <v>#N/A</v>
      </c>
      <c r="K354" t="e">
        <f>VLOOKUP(C354,'Location Data'!$C$5:$G$1004,4,FALSE)</f>
        <v>#N/A</v>
      </c>
      <c r="L354" t="e">
        <f>VLOOKUP(C354,'Location Data'!$C$5:$G$1004,5,FALSE)</f>
        <v>#N/A</v>
      </c>
    </row>
    <row r="355" spans="1:12" x14ac:dyDescent="0.2">
      <c r="A355">
        <f>'Shipment Data for Provisioning'!B360</f>
        <v>0</v>
      </c>
      <c r="B355">
        <f>'Shipment Data for Provisioning'!C360</f>
        <v>0</v>
      </c>
      <c r="C355">
        <f>'Shipment Data for Provisioning'!D360</f>
        <v>0</v>
      </c>
      <c r="D355">
        <f>'Shipment Data for Provisioning'!E360</f>
        <v>0</v>
      </c>
      <c r="E355">
        <f>'Shipment Data for Provisioning'!F360</f>
        <v>0</v>
      </c>
      <c r="F355">
        <f>'Shipment Data for Provisioning'!G360</f>
        <v>0</v>
      </c>
      <c r="G355">
        <f>'Shipment Data for Provisioning'!H360</f>
        <v>0</v>
      </c>
      <c r="H355">
        <f>'Shipment Data for Provisioning'!I360</f>
        <v>0</v>
      </c>
      <c r="I355" t="e">
        <f>VLOOKUP(B355,'Location Data'!$C$5:$G$1004,4,FALSE)</f>
        <v>#N/A</v>
      </c>
      <c r="J355" t="e">
        <f>VLOOKUP(B355,'Location Data'!$C$5:$G$1004,5,FALSE)</f>
        <v>#N/A</v>
      </c>
      <c r="K355" t="e">
        <f>VLOOKUP(C355,'Location Data'!$C$5:$G$1004,4,FALSE)</f>
        <v>#N/A</v>
      </c>
      <c r="L355" t="e">
        <f>VLOOKUP(C355,'Location Data'!$C$5:$G$1004,5,FALSE)</f>
        <v>#N/A</v>
      </c>
    </row>
    <row r="356" spans="1:12" x14ac:dyDescent="0.2">
      <c r="A356">
        <f>'Shipment Data for Provisioning'!B361</f>
        <v>0</v>
      </c>
      <c r="B356">
        <f>'Shipment Data for Provisioning'!C361</f>
        <v>0</v>
      </c>
      <c r="C356">
        <f>'Shipment Data for Provisioning'!D361</f>
        <v>0</v>
      </c>
      <c r="D356">
        <f>'Shipment Data for Provisioning'!E361</f>
        <v>0</v>
      </c>
      <c r="E356">
        <f>'Shipment Data for Provisioning'!F361</f>
        <v>0</v>
      </c>
      <c r="F356">
        <f>'Shipment Data for Provisioning'!G361</f>
        <v>0</v>
      </c>
      <c r="G356">
        <f>'Shipment Data for Provisioning'!H361</f>
        <v>0</v>
      </c>
      <c r="H356">
        <f>'Shipment Data for Provisioning'!I361</f>
        <v>0</v>
      </c>
      <c r="I356" t="e">
        <f>VLOOKUP(B356,'Location Data'!$C$5:$G$1004,4,FALSE)</f>
        <v>#N/A</v>
      </c>
      <c r="J356" t="e">
        <f>VLOOKUP(B356,'Location Data'!$C$5:$G$1004,5,FALSE)</f>
        <v>#N/A</v>
      </c>
      <c r="K356" t="e">
        <f>VLOOKUP(C356,'Location Data'!$C$5:$G$1004,4,FALSE)</f>
        <v>#N/A</v>
      </c>
      <c r="L356" t="e">
        <f>VLOOKUP(C356,'Location Data'!$C$5:$G$1004,5,FALSE)</f>
        <v>#N/A</v>
      </c>
    </row>
    <row r="357" spans="1:12" x14ac:dyDescent="0.2">
      <c r="A357">
        <f>'Shipment Data for Provisioning'!B362</f>
        <v>0</v>
      </c>
      <c r="B357">
        <f>'Shipment Data for Provisioning'!C362</f>
        <v>0</v>
      </c>
      <c r="C357">
        <f>'Shipment Data for Provisioning'!D362</f>
        <v>0</v>
      </c>
      <c r="D357">
        <f>'Shipment Data for Provisioning'!E362</f>
        <v>0</v>
      </c>
      <c r="E357">
        <f>'Shipment Data for Provisioning'!F362</f>
        <v>0</v>
      </c>
      <c r="F357">
        <f>'Shipment Data for Provisioning'!G362</f>
        <v>0</v>
      </c>
      <c r="G357">
        <f>'Shipment Data for Provisioning'!H362</f>
        <v>0</v>
      </c>
      <c r="H357">
        <f>'Shipment Data for Provisioning'!I362</f>
        <v>0</v>
      </c>
      <c r="I357" t="e">
        <f>VLOOKUP(B357,'Location Data'!$C$5:$G$1004,4,FALSE)</f>
        <v>#N/A</v>
      </c>
      <c r="J357" t="e">
        <f>VLOOKUP(B357,'Location Data'!$C$5:$G$1004,5,FALSE)</f>
        <v>#N/A</v>
      </c>
      <c r="K357" t="e">
        <f>VLOOKUP(C357,'Location Data'!$C$5:$G$1004,4,FALSE)</f>
        <v>#N/A</v>
      </c>
      <c r="L357" t="e">
        <f>VLOOKUP(C357,'Location Data'!$C$5:$G$1004,5,FALSE)</f>
        <v>#N/A</v>
      </c>
    </row>
    <row r="358" spans="1:12" x14ac:dyDescent="0.2">
      <c r="A358">
        <f>'Shipment Data for Provisioning'!B363</f>
        <v>0</v>
      </c>
      <c r="B358">
        <f>'Shipment Data for Provisioning'!C363</f>
        <v>0</v>
      </c>
      <c r="C358">
        <f>'Shipment Data for Provisioning'!D363</f>
        <v>0</v>
      </c>
      <c r="D358">
        <f>'Shipment Data for Provisioning'!E363</f>
        <v>0</v>
      </c>
      <c r="E358">
        <f>'Shipment Data for Provisioning'!F363</f>
        <v>0</v>
      </c>
      <c r="F358">
        <f>'Shipment Data for Provisioning'!G363</f>
        <v>0</v>
      </c>
      <c r="G358">
        <f>'Shipment Data for Provisioning'!H363</f>
        <v>0</v>
      </c>
      <c r="H358">
        <f>'Shipment Data for Provisioning'!I363</f>
        <v>0</v>
      </c>
      <c r="I358" t="e">
        <f>VLOOKUP(B358,'Location Data'!$C$5:$G$1004,4,FALSE)</f>
        <v>#N/A</v>
      </c>
      <c r="J358" t="e">
        <f>VLOOKUP(B358,'Location Data'!$C$5:$G$1004,5,FALSE)</f>
        <v>#N/A</v>
      </c>
      <c r="K358" t="e">
        <f>VLOOKUP(C358,'Location Data'!$C$5:$G$1004,4,FALSE)</f>
        <v>#N/A</v>
      </c>
      <c r="L358" t="e">
        <f>VLOOKUP(C358,'Location Data'!$C$5:$G$1004,5,FALSE)</f>
        <v>#N/A</v>
      </c>
    </row>
    <row r="359" spans="1:12" x14ac:dyDescent="0.2">
      <c r="A359">
        <f>'Shipment Data for Provisioning'!B364</f>
        <v>0</v>
      </c>
      <c r="B359">
        <f>'Shipment Data for Provisioning'!C364</f>
        <v>0</v>
      </c>
      <c r="C359">
        <f>'Shipment Data for Provisioning'!D364</f>
        <v>0</v>
      </c>
      <c r="D359">
        <f>'Shipment Data for Provisioning'!E364</f>
        <v>0</v>
      </c>
      <c r="E359">
        <f>'Shipment Data for Provisioning'!F364</f>
        <v>0</v>
      </c>
      <c r="F359">
        <f>'Shipment Data for Provisioning'!G364</f>
        <v>0</v>
      </c>
      <c r="G359">
        <f>'Shipment Data for Provisioning'!H364</f>
        <v>0</v>
      </c>
      <c r="H359">
        <f>'Shipment Data for Provisioning'!I364</f>
        <v>0</v>
      </c>
      <c r="I359" t="e">
        <f>VLOOKUP(B359,'Location Data'!$C$5:$G$1004,4,FALSE)</f>
        <v>#N/A</v>
      </c>
      <c r="J359" t="e">
        <f>VLOOKUP(B359,'Location Data'!$C$5:$G$1004,5,FALSE)</f>
        <v>#N/A</v>
      </c>
      <c r="K359" t="e">
        <f>VLOOKUP(C359,'Location Data'!$C$5:$G$1004,4,FALSE)</f>
        <v>#N/A</v>
      </c>
      <c r="L359" t="e">
        <f>VLOOKUP(C359,'Location Data'!$C$5:$G$1004,5,FALSE)</f>
        <v>#N/A</v>
      </c>
    </row>
    <row r="360" spans="1:12" x14ac:dyDescent="0.2">
      <c r="A360">
        <f>'Shipment Data for Provisioning'!B365</f>
        <v>0</v>
      </c>
      <c r="B360">
        <f>'Shipment Data for Provisioning'!C365</f>
        <v>0</v>
      </c>
      <c r="C360">
        <f>'Shipment Data for Provisioning'!D365</f>
        <v>0</v>
      </c>
      <c r="D360">
        <f>'Shipment Data for Provisioning'!E365</f>
        <v>0</v>
      </c>
      <c r="E360">
        <f>'Shipment Data for Provisioning'!F365</f>
        <v>0</v>
      </c>
      <c r="F360">
        <f>'Shipment Data for Provisioning'!G365</f>
        <v>0</v>
      </c>
      <c r="G360">
        <f>'Shipment Data for Provisioning'!H365</f>
        <v>0</v>
      </c>
      <c r="H360">
        <f>'Shipment Data for Provisioning'!I365</f>
        <v>0</v>
      </c>
      <c r="I360" t="e">
        <f>VLOOKUP(B360,'Location Data'!$C$5:$G$1004,4,FALSE)</f>
        <v>#N/A</v>
      </c>
      <c r="J360" t="e">
        <f>VLOOKUP(B360,'Location Data'!$C$5:$G$1004,5,FALSE)</f>
        <v>#N/A</v>
      </c>
      <c r="K360" t="e">
        <f>VLOOKUP(C360,'Location Data'!$C$5:$G$1004,4,FALSE)</f>
        <v>#N/A</v>
      </c>
      <c r="L360" t="e">
        <f>VLOOKUP(C360,'Location Data'!$C$5:$G$1004,5,FALSE)</f>
        <v>#N/A</v>
      </c>
    </row>
    <row r="361" spans="1:12" x14ac:dyDescent="0.2">
      <c r="A361">
        <f>'Shipment Data for Provisioning'!B366</f>
        <v>0</v>
      </c>
      <c r="B361">
        <f>'Shipment Data for Provisioning'!C366</f>
        <v>0</v>
      </c>
      <c r="C361">
        <f>'Shipment Data for Provisioning'!D366</f>
        <v>0</v>
      </c>
      <c r="D361">
        <f>'Shipment Data for Provisioning'!E366</f>
        <v>0</v>
      </c>
      <c r="E361">
        <f>'Shipment Data for Provisioning'!F366</f>
        <v>0</v>
      </c>
      <c r="F361">
        <f>'Shipment Data for Provisioning'!G366</f>
        <v>0</v>
      </c>
      <c r="G361">
        <f>'Shipment Data for Provisioning'!H366</f>
        <v>0</v>
      </c>
      <c r="H361">
        <f>'Shipment Data for Provisioning'!I366</f>
        <v>0</v>
      </c>
      <c r="I361" t="e">
        <f>VLOOKUP(B361,'Location Data'!$C$5:$G$1004,4,FALSE)</f>
        <v>#N/A</v>
      </c>
      <c r="J361" t="e">
        <f>VLOOKUP(B361,'Location Data'!$C$5:$G$1004,5,FALSE)</f>
        <v>#N/A</v>
      </c>
      <c r="K361" t="e">
        <f>VLOOKUP(C361,'Location Data'!$C$5:$G$1004,4,FALSE)</f>
        <v>#N/A</v>
      </c>
      <c r="L361" t="e">
        <f>VLOOKUP(C361,'Location Data'!$C$5:$G$1004,5,FALSE)</f>
        <v>#N/A</v>
      </c>
    </row>
    <row r="362" spans="1:12" x14ac:dyDescent="0.2">
      <c r="A362">
        <f>'Shipment Data for Provisioning'!B367</f>
        <v>0</v>
      </c>
      <c r="B362">
        <f>'Shipment Data for Provisioning'!C367</f>
        <v>0</v>
      </c>
      <c r="C362">
        <f>'Shipment Data for Provisioning'!D367</f>
        <v>0</v>
      </c>
      <c r="D362">
        <f>'Shipment Data for Provisioning'!E367</f>
        <v>0</v>
      </c>
      <c r="E362">
        <f>'Shipment Data for Provisioning'!F367</f>
        <v>0</v>
      </c>
      <c r="F362">
        <f>'Shipment Data for Provisioning'!G367</f>
        <v>0</v>
      </c>
      <c r="G362">
        <f>'Shipment Data for Provisioning'!H367</f>
        <v>0</v>
      </c>
      <c r="H362">
        <f>'Shipment Data for Provisioning'!I367</f>
        <v>0</v>
      </c>
      <c r="I362" t="e">
        <f>VLOOKUP(B362,'Location Data'!$C$5:$G$1004,4,FALSE)</f>
        <v>#N/A</v>
      </c>
      <c r="J362" t="e">
        <f>VLOOKUP(B362,'Location Data'!$C$5:$G$1004,5,FALSE)</f>
        <v>#N/A</v>
      </c>
      <c r="K362" t="e">
        <f>VLOOKUP(C362,'Location Data'!$C$5:$G$1004,4,FALSE)</f>
        <v>#N/A</v>
      </c>
      <c r="L362" t="e">
        <f>VLOOKUP(C362,'Location Data'!$C$5:$G$1004,5,FALSE)</f>
        <v>#N/A</v>
      </c>
    </row>
    <row r="363" spans="1:12" x14ac:dyDescent="0.2">
      <c r="A363">
        <f>'Shipment Data for Provisioning'!B368</f>
        <v>0</v>
      </c>
      <c r="B363">
        <f>'Shipment Data for Provisioning'!C368</f>
        <v>0</v>
      </c>
      <c r="C363">
        <f>'Shipment Data for Provisioning'!D368</f>
        <v>0</v>
      </c>
      <c r="D363">
        <f>'Shipment Data for Provisioning'!E368</f>
        <v>0</v>
      </c>
      <c r="E363">
        <f>'Shipment Data for Provisioning'!F368</f>
        <v>0</v>
      </c>
      <c r="F363">
        <f>'Shipment Data for Provisioning'!G368</f>
        <v>0</v>
      </c>
      <c r="G363">
        <f>'Shipment Data for Provisioning'!H368</f>
        <v>0</v>
      </c>
      <c r="H363">
        <f>'Shipment Data for Provisioning'!I368</f>
        <v>0</v>
      </c>
      <c r="I363" t="e">
        <f>VLOOKUP(B363,'Location Data'!$C$5:$G$1004,4,FALSE)</f>
        <v>#N/A</v>
      </c>
      <c r="J363" t="e">
        <f>VLOOKUP(B363,'Location Data'!$C$5:$G$1004,5,FALSE)</f>
        <v>#N/A</v>
      </c>
      <c r="K363" t="e">
        <f>VLOOKUP(C363,'Location Data'!$C$5:$G$1004,4,FALSE)</f>
        <v>#N/A</v>
      </c>
      <c r="L363" t="e">
        <f>VLOOKUP(C363,'Location Data'!$C$5:$G$1004,5,FALSE)</f>
        <v>#N/A</v>
      </c>
    </row>
    <row r="364" spans="1:12" x14ac:dyDescent="0.2">
      <c r="A364">
        <f>'Shipment Data for Provisioning'!B369</f>
        <v>0</v>
      </c>
      <c r="B364">
        <f>'Shipment Data for Provisioning'!C369</f>
        <v>0</v>
      </c>
      <c r="C364">
        <f>'Shipment Data for Provisioning'!D369</f>
        <v>0</v>
      </c>
      <c r="D364">
        <f>'Shipment Data for Provisioning'!E369</f>
        <v>0</v>
      </c>
      <c r="E364">
        <f>'Shipment Data for Provisioning'!F369</f>
        <v>0</v>
      </c>
      <c r="F364">
        <f>'Shipment Data for Provisioning'!G369</f>
        <v>0</v>
      </c>
      <c r="G364">
        <f>'Shipment Data for Provisioning'!H369</f>
        <v>0</v>
      </c>
      <c r="H364">
        <f>'Shipment Data for Provisioning'!I369</f>
        <v>0</v>
      </c>
      <c r="I364" t="e">
        <f>VLOOKUP(B364,'Location Data'!$C$5:$G$1004,4,FALSE)</f>
        <v>#N/A</v>
      </c>
      <c r="J364" t="e">
        <f>VLOOKUP(B364,'Location Data'!$C$5:$G$1004,5,FALSE)</f>
        <v>#N/A</v>
      </c>
      <c r="K364" t="e">
        <f>VLOOKUP(C364,'Location Data'!$C$5:$G$1004,4,FALSE)</f>
        <v>#N/A</v>
      </c>
      <c r="L364" t="e">
        <f>VLOOKUP(C364,'Location Data'!$C$5:$G$1004,5,FALSE)</f>
        <v>#N/A</v>
      </c>
    </row>
    <row r="365" spans="1:12" x14ac:dyDescent="0.2">
      <c r="A365">
        <f>'Shipment Data for Provisioning'!B370</f>
        <v>0</v>
      </c>
      <c r="B365">
        <f>'Shipment Data for Provisioning'!C370</f>
        <v>0</v>
      </c>
      <c r="C365">
        <f>'Shipment Data for Provisioning'!D370</f>
        <v>0</v>
      </c>
      <c r="D365">
        <f>'Shipment Data for Provisioning'!E370</f>
        <v>0</v>
      </c>
      <c r="E365">
        <f>'Shipment Data for Provisioning'!F370</f>
        <v>0</v>
      </c>
      <c r="F365">
        <f>'Shipment Data for Provisioning'!G370</f>
        <v>0</v>
      </c>
      <c r="G365">
        <f>'Shipment Data for Provisioning'!H370</f>
        <v>0</v>
      </c>
      <c r="H365">
        <f>'Shipment Data for Provisioning'!I370</f>
        <v>0</v>
      </c>
      <c r="I365" t="e">
        <f>VLOOKUP(B365,'Location Data'!$C$5:$G$1004,4,FALSE)</f>
        <v>#N/A</v>
      </c>
      <c r="J365" t="e">
        <f>VLOOKUP(B365,'Location Data'!$C$5:$G$1004,5,FALSE)</f>
        <v>#N/A</v>
      </c>
      <c r="K365" t="e">
        <f>VLOOKUP(C365,'Location Data'!$C$5:$G$1004,4,FALSE)</f>
        <v>#N/A</v>
      </c>
      <c r="L365" t="e">
        <f>VLOOKUP(C365,'Location Data'!$C$5:$G$1004,5,FALSE)</f>
        <v>#N/A</v>
      </c>
    </row>
    <row r="366" spans="1:12" x14ac:dyDescent="0.2">
      <c r="A366">
        <f>'Shipment Data for Provisioning'!B371</f>
        <v>0</v>
      </c>
      <c r="B366">
        <f>'Shipment Data for Provisioning'!C371</f>
        <v>0</v>
      </c>
      <c r="C366">
        <f>'Shipment Data for Provisioning'!D371</f>
        <v>0</v>
      </c>
      <c r="D366">
        <f>'Shipment Data for Provisioning'!E371</f>
        <v>0</v>
      </c>
      <c r="E366">
        <f>'Shipment Data for Provisioning'!F371</f>
        <v>0</v>
      </c>
      <c r="F366">
        <f>'Shipment Data for Provisioning'!G371</f>
        <v>0</v>
      </c>
      <c r="G366">
        <f>'Shipment Data for Provisioning'!H371</f>
        <v>0</v>
      </c>
      <c r="H366">
        <f>'Shipment Data for Provisioning'!I371</f>
        <v>0</v>
      </c>
      <c r="I366" t="e">
        <f>VLOOKUP(B366,'Location Data'!$C$5:$G$1004,4,FALSE)</f>
        <v>#N/A</v>
      </c>
      <c r="J366" t="e">
        <f>VLOOKUP(B366,'Location Data'!$C$5:$G$1004,5,FALSE)</f>
        <v>#N/A</v>
      </c>
      <c r="K366" t="e">
        <f>VLOOKUP(C366,'Location Data'!$C$5:$G$1004,4,FALSE)</f>
        <v>#N/A</v>
      </c>
      <c r="L366" t="e">
        <f>VLOOKUP(C366,'Location Data'!$C$5:$G$1004,5,FALSE)</f>
        <v>#N/A</v>
      </c>
    </row>
    <row r="367" spans="1:12" x14ac:dyDescent="0.2">
      <c r="A367">
        <f>'Shipment Data for Provisioning'!B372</f>
        <v>0</v>
      </c>
      <c r="B367">
        <f>'Shipment Data for Provisioning'!C372</f>
        <v>0</v>
      </c>
      <c r="C367">
        <f>'Shipment Data for Provisioning'!D372</f>
        <v>0</v>
      </c>
      <c r="D367">
        <f>'Shipment Data for Provisioning'!E372</f>
        <v>0</v>
      </c>
      <c r="E367">
        <f>'Shipment Data for Provisioning'!F372</f>
        <v>0</v>
      </c>
      <c r="F367">
        <f>'Shipment Data for Provisioning'!G372</f>
        <v>0</v>
      </c>
      <c r="G367">
        <f>'Shipment Data for Provisioning'!H372</f>
        <v>0</v>
      </c>
      <c r="H367">
        <f>'Shipment Data for Provisioning'!I372</f>
        <v>0</v>
      </c>
      <c r="I367" t="e">
        <f>VLOOKUP(B367,'Location Data'!$C$5:$G$1004,4,FALSE)</f>
        <v>#N/A</v>
      </c>
      <c r="J367" t="e">
        <f>VLOOKUP(B367,'Location Data'!$C$5:$G$1004,5,FALSE)</f>
        <v>#N/A</v>
      </c>
      <c r="K367" t="e">
        <f>VLOOKUP(C367,'Location Data'!$C$5:$G$1004,4,FALSE)</f>
        <v>#N/A</v>
      </c>
      <c r="L367" t="e">
        <f>VLOOKUP(C367,'Location Data'!$C$5:$G$1004,5,FALSE)</f>
        <v>#N/A</v>
      </c>
    </row>
    <row r="368" spans="1:12" x14ac:dyDescent="0.2">
      <c r="A368">
        <f>'Shipment Data for Provisioning'!B373</f>
        <v>0</v>
      </c>
      <c r="B368">
        <f>'Shipment Data for Provisioning'!C373</f>
        <v>0</v>
      </c>
      <c r="C368">
        <f>'Shipment Data for Provisioning'!D373</f>
        <v>0</v>
      </c>
      <c r="D368">
        <f>'Shipment Data for Provisioning'!E373</f>
        <v>0</v>
      </c>
      <c r="E368">
        <f>'Shipment Data for Provisioning'!F373</f>
        <v>0</v>
      </c>
      <c r="F368">
        <f>'Shipment Data for Provisioning'!G373</f>
        <v>0</v>
      </c>
      <c r="G368">
        <f>'Shipment Data for Provisioning'!H373</f>
        <v>0</v>
      </c>
      <c r="H368">
        <f>'Shipment Data for Provisioning'!I373</f>
        <v>0</v>
      </c>
      <c r="I368" t="e">
        <f>VLOOKUP(B368,'Location Data'!$C$5:$G$1004,4,FALSE)</f>
        <v>#N/A</v>
      </c>
      <c r="J368" t="e">
        <f>VLOOKUP(B368,'Location Data'!$C$5:$G$1004,5,FALSE)</f>
        <v>#N/A</v>
      </c>
      <c r="K368" t="e">
        <f>VLOOKUP(C368,'Location Data'!$C$5:$G$1004,4,FALSE)</f>
        <v>#N/A</v>
      </c>
      <c r="L368" t="e">
        <f>VLOOKUP(C368,'Location Data'!$C$5:$G$1004,5,FALSE)</f>
        <v>#N/A</v>
      </c>
    </row>
    <row r="369" spans="1:12" x14ac:dyDescent="0.2">
      <c r="A369">
        <f>'Shipment Data for Provisioning'!B374</f>
        <v>0</v>
      </c>
      <c r="B369">
        <f>'Shipment Data for Provisioning'!C374</f>
        <v>0</v>
      </c>
      <c r="C369">
        <f>'Shipment Data for Provisioning'!D374</f>
        <v>0</v>
      </c>
      <c r="D369">
        <f>'Shipment Data for Provisioning'!E374</f>
        <v>0</v>
      </c>
      <c r="E369">
        <f>'Shipment Data for Provisioning'!F374</f>
        <v>0</v>
      </c>
      <c r="F369">
        <f>'Shipment Data for Provisioning'!G374</f>
        <v>0</v>
      </c>
      <c r="G369">
        <f>'Shipment Data for Provisioning'!H374</f>
        <v>0</v>
      </c>
      <c r="H369">
        <f>'Shipment Data for Provisioning'!I374</f>
        <v>0</v>
      </c>
      <c r="I369" t="e">
        <f>VLOOKUP(B369,'Location Data'!$C$5:$G$1004,4,FALSE)</f>
        <v>#N/A</v>
      </c>
      <c r="J369" t="e">
        <f>VLOOKUP(B369,'Location Data'!$C$5:$G$1004,5,FALSE)</f>
        <v>#N/A</v>
      </c>
      <c r="K369" t="e">
        <f>VLOOKUP(C369,'Location Data'!$C$5:$G$1004,4,FALSE)</f>
        <v>#N/A</v>
      </c>
      <c r="L369" t="e">
        <f>VLOOKUP(C369,'Location Data'!$C$5:$G$1004,5,FALSE)</f>
        <v>#N/A</v>
      </c>
    </row>
    <row r="370" spans="1:12" x14ac:dyDescent="0.2">
      <c r="A370">
        <f>'Shipment Data for Provisioning'!B375</f>
        <v>0</v>
      </c>
      <c r="B370">
        <f>'Shipment Data for Provisioning'!C375</f>
        <v>0</v>
      </c>
      <c r="C370">
        <f>'Shipment Data for Provisioning'!D375</f>
        <v>0</v>
      </c>
      <c r="D370">
        <f>'Shipment Data for Provisioning'!E375</f>
        <v>0</v>
      </c>
      <c r="E370">
        <f>'Shipment Data for Provisioning'!F375</f>
        <v>0</v>
      </c>
      <c r="F370">
        <f>'Shipment Data for Provisioning'!G375</f>
        <v>0</v>
      </c>
      <c r="G370">
        <f>'Shipment Data for Provisioning'!H375</f>
        <v>0</v>
      </c>
      <c r="H370">
        <f>'Shipment Data for Provisioning'!I375</f>
        <v>0</v>
      </c>
      <c r="I370" t="e">
        <f>VLOOKUP(B370,'Location Data'!$C$5:$G$1004,4,FALSE)</f>
        <v>#N/A</v>
      </c>
      <c r="J370" t="e">
        <f>VLOOKUP(B370,'Location Data'!$C$5:$G$1004,5,FALSE)</f>
        <v>#N/A</v>
      </c>
      <c r="K370" t="e">
        <f>VLOOKUP(C370,'Location Data'!$C$5:$G$1004,4,FALSE)</f>
        <v>#N/A</v>
      </c>
      <c r="L370" t="e">
        <f>VLOOKUP(C370,'Location Data'!$C$5:$G$1004,5,FALSE)</f>
        <v>#N/A</v>
      </c>
    </row>
    <row r="371" spans="1:12" x14ac:dyDescent="0.2">
      <c r="A371">
        <f>'Shipment Data for Provisioning'!B376</f>
        <v>0</v>
      </c>
      <c r="B371">
        <f>'Shipment Data for Provisioning'!C376</f>
        <v>0</v>
      </c>
      <c r="C371">
        <f>'Shipment Data for Provisioning'!D376</f>
        <v>0</v>
      </c>
      <c r="D371">
        <f>'Shipment Data for Provisioning'!E376</f>
        <v>0</v>
      </c>
      <c r="E371">
        <f>'Shipment Data for Provisioning'!F376</f>
        <v>0</v>
      </c>
      <c r="F371">
        <f>'Shipment Data for Provisioning'!G376</f>
        <v>0</v>
      </c>
      <c r="G371">
        <f>'Shipment Data for Provisioning'!H376</f>
        <v>0</v>
      </c>
      <c r="H371">
        <f>'Shipment Data for Provisioning'!I376</f>
        <v>0</v>
      </c>
      <c r="I371" t="e">
        <f>VLOOKUP(B371,'Location Data'!$C$5:$G$1004,4,FALSE)</f>
        <v>#N/A</v>
      </c>
      <c r="J371" t="e">
        <f>VLOOKUP(B371,'Location Data'!$C$5:$G$1004,5,FALSE)</f>
        <v>#N/A</v>
      </c>
      <c r="K371" t="e">
        <f>VLOOKUP(C371,'Location Data'!$C$5:$G$1004,4,FALSE)</f>
        <v>#N/A</v>
      </c>
      <c r="L371" t="e">
        <f>VLOOKUP(C371,'Location Data'!$C$5:$G$1004,5,FALSE)</f>
        <v>#N/A</v>
      </c>
    </row>
    <row r="372" spans="1:12" x14ac:dyDescent="0.2">
      <c r="A372">
        <f>'Shipment Data for Provisioning'!B377</f>
        <v>0</v>
      </c>
      <c r="B372">
        <f>'Shipment Data for Provisioning'!C377</f>
        <v>0</v>
      </c>
      <c r="C372">
        <f>'Shipment Data for Provisioning'!D377</f>
        <v>0</v>
      </c>
      <c r="D372">
        <f>'Shipment Data for Provisioning'!E377</f>
        <v>0</v>
      </c>
      <c r="E372">
        <f>'Shipment Data for Provisioning'!F377</f>
        <v>0</v>
      </c>
      <c r="F372">
        <f>'Shipment Data for Provisioning'!G377</f>
        <v>0</v>
      </c>
      <c r="G372">
        <f>'Shipment Data for Provisioning'!H377</f>
        <v>0</v>
      </c>
      <c r="H372">
        <f>'Shipment Data for Provisioning'!I377</f>
        <v>0</v>
      </c>
      <c r="I372" t="e">
        <f>VLOOKUP(B372,'Location Data'!$C$5:$G$1004,4,FALSE)</f>
        <v>#N/A</v>
      </c>
      <c r="J372" t="e">
        <f>VLOOKUP(B372,'Location Data'!$C$5:$G$1004,5,FALSE)</f>
        <v>#N/A</v>
      </c>
      <c r="K372" t="e">
        <f>VLOOKUP(C372,'Location Data'!$C$5:$G$1004,4,FALSE)</f>
        <v>#N/A</v>
      </c>
      <c r="L372" t="e">
        <f>VLOOKUP(C372,'Location Data'!$C$5:$G$1004,5,FALSE)</f>
        <v>#N/A</v>
      </c>
    </row>
    <row r="373" spans="1:12" x14ac:dyDescent="0.2">
      <c r="A373">
        <f>'Shipment Data for Provisioning'!B378</f>
        <v>0</v>
      </c>
      <c r="B373">
        <f>'Shipment Data for Provisioning'!C378</f>
        <v>0</v>
      </c>
      <c r="C373">
        <f>'Shipment Data for Provisioning'!D378</f>
        <v>0</v>
      </c>
      <c r="D373">
        <f>'Shipment Data for Provisioning'!E378</f>
        <v>0</v>
      </c>
      <c r="E373">
        <f>'Shipment Data for Provisioning'!F378</f>
        <v>0</v>
      </c>
      <c r="F373">
        <f>'Shipment Data for Provisioning'!G378</f>
        <v>0</v>
      </c>
      <c r="G373">
        <f>'Shipment Data for Provisioning'!H378</f>
        <v>0</v>
      </c>
      <c r="H373">
        <f>'Shipment Data for Provisioning'!I378</f>
        <v>0</v>
      </c>
      <c r="I373" t="e">
        <f>VLOOKUP(B373,'Location Data'!$C$5:$G$1004,4,FALSE)</f>
        <v>#N/A</v>
      </c>
      <c r="J373" t="e">
        <f>VLOOKUP(B373,'Location Data'!$C$5:$G$1004,5,FALSE)</f>
        <v>#N/A</v>
      </c>
      <c r="K373" t="e">
        <f>VLOOKUP(C373,'Location Data'!$C$5:$G$1004,4,FALSE)</f>
        <v>#N/A</v>
      </c>
      <c r="L373" t="e">
        <f>VLOOKUP(C373,'Location Data'!$C$5:$G$1004,5,FALSE)</f>
        <v>#N/A</v>
      </c>
    </row>
    <row r="374" spans="1:12" x14ac:dyDescent="0.2">
      <c r="A374">
        <f>'Shipment Data for Provisioning'!B379</f>
        <v>0</v>
      </c>
      <c r="B374">
        <f>'Shipment Data for Provisioning'!C379</f>
        <v>0</v>
      </c>
      <c r="C374">
        <f>'Shipment Data for Provisioning'!D379</f>
        <v>0</v>
      </c>
      <c r="D374">
        <f>'Shipment Data for Provisioning'!E379</f>
        <v>0</v>
      </c>
      <c r="E374">
        <f>'Shipment Data for Provisioning'!F379</f>
        <v>0</v>
      </c>
      <c r="F374">
        <f>'Shipment Data for Provisioning'!G379</f>
        <v>0</v>
      </c>
      <c r="G374">
        <f>'Shipment Data for Provisioning'!H379</f>
        <v>0</v>
      </c>
      <c r="H374">
        <f>'Shipment Data for Provisioning'!I379</f>
        <v>0</v>
      </c>
      <c r="I374" t="e">
        <f>VLOOKUP(B374,'Location Data'!$C$5:$G$1004,4,FALSE)</f>
        <v>#N/A</v>
      </c>
      <c r="J374" t="e">
        <f>VLOOKUP(B374,'Location Data'!$C$5:$G$1004,5,FALSE)</f>
        <v>#N/A</v>
      </c>
      <c r="K374" t="e">
        <f>VLOOKUP(C374,'Location Data'!$C$5:$G$1004,4,FALSE)</f>
        <v>#N/A</v>
      </c>
      <c r="L374" t="e">
        <f>VLOOKUP(C374,'Location Data'!$C$5:$G$1004,5,FALSE)</f>
        <v>#N/A</v>
      </c>
    </row>
    <row r="375" spans="1:12" x14ac:dyDescent="0.2">
      <c r="A375">
        <f>'Shipment Data for Provisioning'!B380</f>
        <v>0</v>
      </c>
      <c r="B375">
        <f>'Shipment Data for Provisioning'!C380</f>
        <v>0</v>
      </c>
      <c r="C375">
        <f>'Shipment Data for Provisioning'!D380</f>
        <v>0</v>
      </c>
      <c r="D375">
        <f>'Shipment Data for Provisioning'!E380</f>
        <v>0</v>
      </c>
      <c r="E375">
        <f>'Shipment Data for Provisioning'!F380</f>
        <v>0</v>
      </c>
      <c r="F375">
        <f>'Shipment Data for Provisioning'!G380</f>
        <v>0</v>
      </c>
      <c r="G375">
        <f>'Shipment Data for Provisioning'!H380</f>
        <v>0</v>
      </c>
      <c r="H375">
        <f>'Shipment Data for Provisioning'!I380</f>
        <v>0</v>
      </c>
      <c r="I375" t="e">
        <f>VLOOKUP(B375,'Location Data'!$C$5:$G$1004,4,FALSE)</f>
        <v>#N/A</v>
      </c>
      <c r="J375" t="e">
        <f>VLOOKUP(B375,'Location Data'!$C$5:$G$1004,5,FALSE)</f>
        <v>#N/A</v>
      </c>
      <c r="K375" t="e">
        <f>VLOOKUP(C375,'Location Data'!$C$5:$G$1004,4,FALSE)</f>
        <v>#N/A</v>
      </c>
      <c r="L375" t="e">
        <f>VLOOKUP(C375,'Location Data'!$C$5:$G$1004,5,FALSE)</f>
        <v>#N/A</v>
      </c>
    </row>
    <row r="376" spans="1:12" x14ac:dyDescent="0.2">
      <c r="A376">
        <f>'Shipment Data for Provisioning'!B381</f>
        <v>0</v>
      </c>
      <c r="B376">
        <f>'Shipment Data for Provisioning'!C381</f>
        <v>0</v>
      </c>
      <c r="C376">
        <f>'Shipment Data for Provisioning'!D381</f>
        <v>0</v>
      </c>
      <c r="D376">
        <f>'Shipment Data for Provisioning'!E381</f>
        <v>0</v>
      </c>
      <c r="E376">
        <f>'Shipment Data for Provisioning'!F381</f>
        <v>0</v>
      </c>
      <c r="F376">
        <f>'Shipment Data for Provisioning'!G381</f>
        <v>0</v>
      </c>
      <c r="G376">
        <f>'Shipment Data for Provisioning'!H381</f>
        <v>0</v>
      </c>
      <c r="H376">
        <f>'Shipment Data for Provisioning'!I381</f>
        <v>0</v>
      </c>
      <c r="I376" t="e">
        <f>VLOOKUP(B376,'Location Data'!$C$5:$G$1004,4,FALSE)</f>
        <v>#N/A</v>
      </c>
      <c r="J376" t="e">
        <f>VLOOKUP(B376,'Location Data'!$C$5:$G$1004,5,FALSE)</f>
        <v>#N/A</v>
      </c>
      <c r="K376" t="e">
        <f>VLOOKUP(C376,'Location Data'!$C$5:$G$1004,4,FALSE)</f>
        <v>#N/A</v>
      </c>
      <c r="L376" t="e">
        <f>VLOOKUP(C376,'Location Data'!$C$5:$G$1004,5,FALSE)</f>
        <v>#N/A</v>
      </c>
    </row>
    <row r="377" spans="1:12" x14ac:dyDescent="0.2">
      <c r="A377">
        <f>'Shipment Data for Provisioning'!B382</f>
        <v>0</v>
      </c>
      <c r="B377">
        <f>'Shipment Data for Provisioning'!C382</f>
        <v>0</v>
      </c>
      <c r="C377">
        <f>'Shipment Data for Provisioning'!D382</f>
        <v>0</v>
      </c>
      <c r="D377">
        <f>'Shipment Data for Provisioning'!E382</f>
        <v>0</v>
      </c>
      <c r="E377">
        <f>'Shipment Data for Provisioning'!F382</f>
        <v>0</v>
      </c>
      <c r="F377">
        <f>'Shipment Data for Provisioning'!G382</f>
        <v>0</v>
      </c>
      <c r="G377">
        <f>'Shipment Data for Provisioning'!H382</f>
        <v>0</v>
      </c>
      <c r="H377">
        <f>'Shipment Data for Provisioning'!I382</f>
        <v>0</v>
      </c>
      <c r="I377" t="e">
        <f>VLOOKUP(B377,'Location Data'!$C$5:$G$1004,4,FALSE)</f>
        <v>#N/A</v>
      </c>
      <c r="J377" t="e">
        <f>VLOOKUP(B377,'Location Data'!$C$5:$G$1004,5,FALSE)</f>
        <v>#N/A</v>
      </c>
      <c r="K377" t="e">
        <f>VLOOKUP(C377,'Location Data'!$C$5:$G$1004,4,FALSE)</f>
        <v>#N/A</v>
      </c>
      <c r="L377" t="e">
        <f>VLOOKUP(C377,'Location Data'!$C$5:$G$1004,5,FALSE)</f>
        <v>#N/A</v>
      </c>
    </row>
    <row r="378" spans="1:12" x14ac:dyDescent="0.2">
      <c r="A378">
        <f>'Shipment Data for Provisioning'!B383</f>
        <v>0</v>
      </c>
      <c r="B378">
        <f>'Shipment Data for Provisioning'!C383</f>
        <v>0</v>
      </c>
      <c r="C378">
        <f>'Shipment Data for Provisioning'!D383</f>
        <v>0</v>
      </c>
      <c r="D378">
        <f>'Shipment Data for Provisioning'!E383</f>
        <v>0</v>
      </c>
      <c r="E378">
        <f>'Shipment Data for Provisioning'!F383</f>
        <v>0</v>
      </c>
      <c r="F378">
        <f>'Shipment Data for Provisioning'!G383</f>
        <v>0</v>
      </c>
      <c r="G378">
        <f>'Shipment Data for Provisioning'!H383</f>
        <v>0</v>
      </c>
      <c r="H378">
        <f>'Shipment Data for Provisioning'!I383</f>
        <v>0</v>
      </c>
      <c r="I378" t="e">
        <f>VLOOKUP(B378,'Location Data'!$C$5:$G$1004,4,FALSE)</f>
        <v>#N/A</v>
      </c>
      <c r="J378" t="e">
        <f>VLOOKUP(B378,'Location Data'!$C$5:$G$1004,5,FALSE)</f>
        <v>#N/A</v>
      </c>
      <c r="K378" t="e">
        <f>VLOOKUP(C378,'Location Data'!$C$5:$G$1004,4,FALSE)</f>
        <v>#N/A</v>
      </c>
      <c r="L378" t="e">
        <f>VLOOKUP(C378,'Location Data'!$C$5:$G$1004,5,FALSE)</f>
        <v>#N/A</v>
      </c>
    </row>
    <row r="379" spans="1:12" x14ac:dyDescent="0.2">
      <c r="A379">
        <f>'Shipment Data for Provisioning'!B384</f>
        <v>0</v>
      </c>
      <c r="B379">
        <f>'Shipment Data for Provisioning'!C384</f>
        <v>0</v>
      </c>
      <c r="C379">
        <f>'Shipment Data for Provisioning'!D384</f>
        <v>0</v>
      </c>
      <c r="D379">
        <f>'Shipment Data for Provisioning'!E384</f>
        <v>0</v>
      </c>
      <c r="E379">
        <f>'Shipment Data for Provisioning'!F384</f>
        <v>0</v>
      </c>
      <c r="F379">
        <f>'Shipment Data for Provisioning'!G384</f>
        <v>0</v>
      </c>
      <c r="G379">
        <f>'Shipment Data for Provisioning'!H384</f>
        <v>0</v>
      </c>
      <c r="H379">
        <f>'Shipment Data for Provisioning'!I384</f>
        <v>0</v>
      </c>
      <c r="I379" t="e">
        <f>VLOOKUP(B379,'Location Data'!$C$5:$G$1004,4,FALSE)</f>
        <v>#N/A</v>
      </c>
      <c r="J379" t="e">
        <f>VLOOKUP(B379,'Location Data'!$C$5:$G$1004,5,FALSE)</f>
        <v>#N/A</v>
      </c>
      <c r="K379" t="e">
        <f>VLOOKUP(C379,'Location Data'!$C$5:$G$1004,4,FALSE)</f>
        <v>#N/A</v>
      </c>
      <c r="L379" t="e">
        <f>VLOOKUP(C379,'Location Data'!$C$5:$G$1004,5,FALSE)</f>
        <v>#N/A</v>
      </c>
    </row>
    <row r="380" spans="1:12" x14ac:dyDescent="0.2">
      <c r="A380">
        <f>'Shipment Data for Provisioning'!B385</f>
        <v>0</v>
      </c>
      <c r="B380">
        <f>'Shipment Data for Provisioning'!C385</f>
        <v>0</v>
      </c>
      <c r="C380">
        <f>'Shipment Data for Provisioning'!D385</f>
        <v>0</v>
      </c>
      <c r="D380">
        <f>'Shipment Data for Provisioning'!E385</f>
        <v>0</v>
      </c>
      <c r="E380">
        <f>'Shipment Data for Provisioning'!F385</f>
        <v>0</v>
      </c>
      <c r="F380">
        <f>'Shipment Data for Provisioning'!G385</f>
        <v>0</v>
      </c>
      <c r="G380">
        <f>'Shipment Data for Provisioning'!H385</f>
        <v>0</v>
      </c>
      <c r="H380">
        <f>'Shipment Data for Provisioning'!I385</f>
        <v>0</v>
      </c>
      <c r="I380" t="e">
        <f>VLOOKUP(B380,'Location Data'!$C$5:$G$1004,4,FALSE)</f>
        <v>#N/A</v>
      </c>
      <c r="J380" t="e">
        <f>VLOOKUP(B380,'Location Data'!$C$5:$G$1004,5,FALSE)</f>
        <v>#N/A</v>
      </c>
      <c r="K380" t="e">
        <f>VLOOKUP(C380,'Location Data'!$C$5:$G$1004,4,FALSE)</f>
        <v>#N/A</v>
      </c>
      <c r="L380" t="e">
        <f>VLOOKUP(C380,'Location Data'!$C$5:$G$1004,5,FALSE)</f>
        <v>#N/A</v>
      </c>
    </row>
    <row r="381" spans="1:12" x14ac:dyDescent="0.2">
      <c r="A381">
        <f>'Shipment Data for Provisioning'!B386</f>
        <v>0</v>
      </c>
      <c r="B381">
        <f>'Shipment Data for Provisioning'!C386</f>
        <v>0</v>
      </c>
      <c r="C381">
        <f>'Shipment Data for Provisioning'!D386</f>
        <v>0</v>
      </c>
      <c r="D381">
        <f>'Shipment Data for Provisioning'!E386</f>
        <v>0</v>
      </c>
      <c r="E381">
        <f>'Shipment Data for Provisioning'!F386</f>
        <v>0</v>
      </c>
      <c r="F381">
        <f>'Shipment Data for Provisioning'!G386</f>
        <v>0</v>
      </c>
      <c r="G381">
        <f>'Shipment Data for Provisioning'!H386</f>
        <v>0</v>
      </c>
      <c r="H381">
        <f>'Shipment Data for Provisioning'!I386</f>
        <v>0</v>
      </c>
      <c r="I381" t="e">
        <f>VLOOKUP(B381,'Location Data'!$C$5:$G$1004,4,FALSE)</f>
        <v>#N/A</v>
      </c>
      <c r="J381" t="e">
        <f>VLOOKUP(B381,'Location Data'!$C$5:$G$1004,5,FALSE)</f>
        <v>#N/A</v>
      </c>
      <c r="K381" t="e">
        <f>VLOOKUP(C381,'Location Data'!$C$5:$G$1004,4,FALSE)</f>
        <v>#N/A</v>
      </c>
      <c r="L381" t="e">
        <f>VLOOKUP(C381,'Location Data'!$C$5:$G$1004,5,FALSE)</f>
        <v>#N/A</v>
      </c>
    </row>
    <row r="382" spans="1:12" x14ac:dyDescent="0.2">
      <c r="A382">
        <f>'Shipment Data for Provisioning'!B387</f>
        <v>0</v>
      </c>
      <c r="B382">
        <f>'Shipment Data for Provisioning'!C387</f>
        <v>0</v>
      </c>
      <c r="C382">
        <f>'Shipment Data for Provisioning'!D387</f>
        <v>0</v>
      </c>
      <c r="D382">
        <f>'Shipment Data for Provisioning'!E387</f>
        <v>0</v>
      </c>
      <c r="E382">
        <f>'Shipment Data for Provisioning'!F387</f>
        <v>0</v>
      </c>
      <c r="F382">
        <f>'Shipment Data for Provisioning'!G387</f>
        <v>0</v>
      </c>
      <c r="G382">
        <f>'Shipment Data for Provisioning'!H387</f>
        <v>0</v>
      </c>
      <c r="H382">
        <f>'Shipment Data for Provisioning'!I387</f>
        <v>0</v>
      </c>
      <c r="I382" t="e">
        <f>VLOOKUP(B382,'Location Data'!$C$5:$G$1004,4,FALSE)</f>
        <v>#N/A</v>
      </c>
      <c r="J382" t="e">
        <f>VLOOKUP(B382,'Location Data'!$C$5:$G$1004,5,FALSE)</f>
        <v>#N/A</v>
      </c>
      <c r="K382" t="e">
        <f>VLOOKUP(C382,'Location Data'!$C$5:$G$1004,4,FALSE)</f>
        <v>#N/A</v>
      </c>
      <c r="L382" t="e">
        <f>VLOOKUP(C382,'Location Data'!$C$5:$G$1004,5,FALSE)</f>
        <v>#N/A</v>
      </c>
    </row>
    <row r="383" spans="1:12" x14ac:dyDescent="0.2">
      <c r="A383">
        <f>'Shipment Data for Provisioning'!B388</f>
        <v>0</v>
      </c>
      <c r="B383">
        <f>'Shipment Data for Provisioning'!C388</f>
        <v>0</v>
      </c>
      <c r="C383">
        <f>'Shipment Data for Provisioning'!D388</f>
        <v>0</v>
      </c>
      <c r="D383">
        <f>'Shipment Data for Provisioning'!E388</f>
        <v>0</v>
      </c>
      <c r="E383">
        <f>'Shipment Data for Provisioning'!F388</f>
        <v>0</v>
      </c>
      <c r="F383">
        <f>'Shipment Data for Provisioning'!G388</f>
        <v>0</v>
      </c>
      <c r="G383">
        <f>'Shipment Data for Provisioning'!H388</f>
        <v>0</v>
      </c>
      <c r="H383">
        <f>'Shipment Data for Provisioning'!I388</f>
        <v>0</v>
      </c>
      <c r="I383" t="e">
        <f>VLOOKUP(B383,'Location Data'!$C$5:$G$1004,4,FALSE)</f>
        <v>#N/A</v>
      </c>
      <c r="J383" t="e">
        <f>VLOOKUP(B383,'Location Data'!$C$5:$G$1004,5,FALSE)</f>
        <v>#N/A</v>
      </c>
      <c r="K383" t="e">
        <f>VLOOKUP(C383,'Location Data'!$C$5:$G$1004,4,FALSE)</f>
        <v>#N/A</v>
      </c>
      <c r="L383" t="e">
        <f>VLOOKUP(C383,'Location Data'!$C$5:$G$1004,5,FALSE)</f>
        <v>#N/A</v>
      </c>
    </row>
    <row r="384" spans="1:12" x14ac:dyDescent="0.2">
      <c r="A384">
        <f>'Shipment Data for Provisioning'!B389</f>
        <v>0</v>
      </c>
      <c r="B384">
        <f>'Shipment Data for Provisioning'!C389</f>
        <v>0</v>
      </c>
      <c r="C384">
        <f>'Shipment Data for Provisioning'!D389</f>
        <v>0</v>
      </c>
      <c r="D384">
        <f>'Shipment Data for Provisioning'!E389</f>
        <v>0</v>
      </c>
      <c r="E384">
        <f>'Shipment Data for Provisioning'!F389</f>
        <v>0</v>
      </c>
      <c r="F384">
        <f>'Shipment Data for Provisioning'!G389</f>
        <v>0</v>
      </c>
      <c r="G384">
        <f>'Shipment Data for Provisioning'!H389</f>
        <v>0</v>
      </c>
      <c r="H384">
        <f>'Shipment Data for Provisioning'!I389</f>
        <v>0</v>
      </c>
      <c r="I384" t="e">
        <f>VLOOKUP(B384,'Location Data'!$C$5:$G$1004,4,FALSE)</f>
        <v>#N/A</v>
      </c>
      <c r="J384" t="e">
        <f>VLOOKUP(B384,'Location Data'!$C$5:$G$1004,5,FALSE)</f>
        <v>#N/A</v>
      </c>
      <c r="K384" t="e">
        <f>VLOOKUP(C384,'Location Data'!$C$5:$G$1004,4,FALSE)</f>
        <v>#N/A</v>
      </c>
      <c r="L384" t="e">
        <f>VLOOKUP(C384,'Location Data'!$C$5:$G$1004,5,FALSE)</f>
        <v>#N/A</v>
      </c>
    </row>
    <row r="385" spans="1:12" x14ac:dyDescent="0.2">
      <c r="A385">
        <f>'Shipment Data for Provisioning'!B390</f>
        <v>0</v>
      </c>
      <c r="B385">
        <f>'Shipment Data for Provisioning'!C390</f>
        <v>0</v>
      </c>
      <c r="C385">
        <f>'Shipment Data for Provisioning'!D390</f>
        <v>0</v>
      </c>
      <c r="D385">
        <f>'Shipment Data for Provisioning'!E390</f>
        <v>0</v>
      </c>
      <c r="E385">
        <f>'Shipment Data for Provisioning'!F390</f>
        <v>0</v>
      </c>
      <c r="F385">
        <f>'Shipment Data for Provisioning'!G390</f>
        <v>0</v>
      </c>
      <c r="G385">
        <f>'Shipment Data for Provisioning'!H390</f>
        <v>0</v>
      </c>
      <c r="H385">
        <f>'Shipment Data for Provisioning'!I390</f>
        <v>0</v>
      </c>
      <c r="I385" t="e">
        <f>VLOOKUP(B385,'Location Data'!$C$5:$G$1004,4,FALSE)</f>
        <v>#N/A</v>
      </c>
      <c r="J385" t="e">
        <f>VLOOKUP(B385,'Location Data'!$C$5:$G$1004,5,FALSE)</f>
        <v>#N/A</v>
      </c>
      <c r="K385" t="e">
        <f>VLOOKUP(C385,'Location Data'!$C$5:$G$1004,4,FALSE)</f>
        <v>#N/A</v>
      </c>
      <c r="L385" t="e">
        <f>VLOOKUP(C385,'Location Data'!$C$5:$G$1004,5,FALSE)</f>
        <v>#N/A</v>
      </c>
    </row>
    <row r="386" spans="1:12" x14ac:dyDescent="0.2">
      <c r="A386">
        <f>'Shipment Data for Provisioning'!B391</f>
        <v>0</v>
      </c>
      <c r="B386">
        <f>'Shipment Data for Provisioning'!C391</f>
        <v>0</v>
      </c>
      <c r="C386">
        <f>'Shipment Data for Provisioning'!D391</f>
        <v>0</v>
      </c>
      <c r="D386">
        <f>'Shipment Data for Provisioning'!E391</f>
        <v>0</v>
      </c>
      <c r="E386">
        <f>'Shipment Data for Provisioning'!F391</f>
        <v>0</v>
      </c>
      <c r="F386">
        <f>'Shipment Data for Provisioning'!G391</f>
        <v>0</v>
      </c>
      <c r="G386">
        <f>'Shipment Data for Provisioning'!H391</f>
        <v>0</v>
      </c>
      <c r="H386">
        <f>'Shipment Data for Provisioning'!I391</f>
        <v>0</v>
      </c>
      <c r="I386" t="e">
        <f>VLOOKUP(B386,'Location Data'!$C$5:$G$1004,4,FALSE)</f>
        <v>#N/A</v>
      </c>
      <c r="J386" t="e">
        <f>VLOOKUP(B386,'Location Data'!$C$5:$G$1004,5,FALSE)</f>
        <v>#N/A</v>
      </c>
      <c r="K386" t="e">
        <f>VLOOKUP(C386,'Location Data'!$C$5:$G$1004,4,FALSE)</f>
        <v>#N/A</v>
      </c>
      <c r="L386" t="e">
        <f>VLOOKUP(C386,'Location Data'!$C$5:$G$1004,5,FALSE)</f>
        <v>#N/A</v>
      </c>
    </row>
    <row r="387" spans="1:12" x14ac:dyDescent="0.2">
      <c r="A387">
        <f>'Shipment Data for Provisioning'!B392</f>
        <v>0</v>
      </c>
      <c r="B387">
        <f>'Shipment Data for Provisioning'!C392</f>
        <v>0</v>
      </c>
      <c r="C387">
        <f>'Shipment Data for Provisioning'!D392</f>
        <v>0</v>
      </c>
      <c r="D387">
        <f>'Shipment Data for Provisioning'!E392</f>
        <v>0</v>
      </c>
      <c r="E387">
        <f>'Shipment Data for Provisioning'!F392</f>
        <v>0</v>
      </c>
      <c r="F387">
        <f>'Shipment Data for Provisioning'!G392</f>
        <v>0</v>
      </c>
      <c r="G387">
        <f>'Shipment Data for Provisioning'!H392</f>
        <v>0</v>
      </c>
      <c r="H387">
        <f>'Shipment Data for Provisioning'!I392</f>
        <v>0</v>
      </c>
      <c r="I387" t="e">
        <f>VLOOKUP(B387,'Location Data'!$C$5:$G$1004,4,FALSE)</f>
        <v>#N/A</v>
      </c>
      <c r="J387" t="e">
        <f>VLOOKUP(B387,'Location Data'!$C$5:$G$1004,5,FALSE)</f>
        <v>#N/A</v>
      </c>
      <c r="K387" t="e">
        <f>VLOOKUP(C387,'Location Data'!$C$5:$G$1004,4,FALSE)</f>
        <v>#N/A</v>
      </c>
      <c r="L387" t="e">
        <f>VLOOKUP(C387,'Location Data'!$C$5:$G$1004,5,FALSE)</f>
        <v>#N/A</v>
      </c>
    </row>
    <row r="388" spans="1:12" x14ac:dyDescent="0.2">
      <c r="A388">
        <f>'Shipment Data for Provisioning'!B393</f>
        <v>0</v>
      </c>
      <c r="B388">
        <f>'Shipment Data for Provisioning'!C393</f>
        <v>0</v>
      </c>
      <c r="C388">
        <f>'Shipment Data for Provisioning'!D393</f>
        <v>0</v>
      </c>
      <c r="D388">
        <f>'Shipment Data for Provisioning'!E393</f>
        <v>0</v>
      </c>
      <c r="E388">
        <f>'Shipment Data for Provisioning'!F393</f>
        <v>0</v>
      </c>
      <c r="F388">
        <f>'Shipment Data for Provisioning'!G393</f>
        <v>0</v>
      </c>
      <c r="G388">
        <f>'Shipment Data for Provisioning'!H393</f>
        <v>0</v>
      </c>
      <c r="H388">
        <f>'Shipment Data for Provisioning'!I393</f>
        <v>0</v>
      </c>
      <c r="I388" t="e">
        <f>VLOOKUP(B388,'Location Data'!$C$5:$G$1004,4,FALSE)</f>
        <v>#N/A</v>
      </c>
      <c r="J388" t="e">
        <f>VLOOKUP(B388,'Location Data'!$C$5:$G$1004,5,FALSE)</f>
        <v>#N/A</v>
      </c>
      <c r="K388" t="e">
        <f>VLOOKUP(C388,'Location Data'!$C$5:$G$1004,4,FALSE)</f>
        <v>#N/A</v>
      </c>
      <c r="L388" t="e">
        <f>VLOOKUP(C388,'Location Data'!$C$5:$G$1004,5,FALSE)</f>
        <v>#N/A</v>
      </c>
    </row>
    <row r="389" spans="1:12" x14ac:dyDescent="0.2">
      <c r="A389">
        <f>'Shipment Data for Provisioning'!B394</f>
        <v>0</v>
      </c>
      <c r="B389">
        <f>'Shipment Data for Provisioning'!C394</f>
        <v>0</v>
      </c>
      <c r="C389">
        <f>'Shipment Data for Provisioning'!D394</f>
        <v>0</v>
      </c>
      <c r="D389">
        <f>'Shipment Data for Provisioning'!E394</f>
        <v>0</v>
      </c>
      <c r="E389">
        <f>'Shipment Data for Provisioning'!F394</f>
        <v>0</v>
      </c>
      <c r="F389">
        <f>'Shipment Data for Provisioning'!G394</f>
        <v>0</v>
      </c>
      <c r="G389">
        <f>'Shipment Data for Provisioning'!H394</f>
        <v>0</v>
      </c>
      <c r="H389">
        <f>'Shipment Data for Provisioning'!I394</f>
        <v>0</v>
      </c>
      <c r="I389" t="e">
        <f>VLOOKUP(B389,'Location Data'!$C$5:$G$1004,4,FALSE)</f>
        <v>#N/A</v>
      </c>
      <c r="J389" t="e">
        <f>VLOOKUP(B389,'Location Data'!$C$5:$G$1004,5,FALSE)</f>
        <v>#N/A</v>
      </c>
      <c r="K389" t="e">
        <f>VLOOKUP(C389,'Location Data'!$C$5:$G$1004,4,FALSE)</f>
        <v>#N/A</v>
      </c>
      <c r="L389" t="e">
        <f>VLOOKUP(C389,'Location Data'!$C$5:$G$1004,5,FALSE)</f>
        <v>#N/A</v>
      </c>
    </row>
    <row r="390" spans="1:12" x14ac:dyDescent="0.2">
      <c r="A390">
        <f>'Shipment Data for Provisioning'!B395</f>
        <v>0</v>
      </c>
      <c r="B390">
        <f>'Shipment Data for Provisioning'!C395</f>
        <v>0</v>
      </c>
      <c r="C390">
        <f>'Shipment Data for Provisioning'!D395</f>
        <v>0</v>
      </c>
      <c r="D390">
        <f>'Shipment Data for Provisioning'!E395</f>
        <v>0</v>
      </c>
      <c r="E390">
        <f>'Shipment Data for Provisioning'!F395</f>
        <v>0</v>
      </c>
      <c r="F390">
        <f>'Shipment Data for Provisioning'!G395</f>
        <v>0</v>
      </c>
      <c r="G390">
        <f>'Shipment Data for Provisioning'!H395</f>
        <v>0</v>
      </c>
      <c r="H390">
        <f>'Shipment Data for Provisioning'!I395</f>
        <v>0</v>
      </c>
      <c r="I390" t="e">
        <f>VLOOKUP(B390,'Location Data'!$C$5:$G$1004,4,FALSE)</f>
        <v>#N/A</v>
      </c>
      <c r="J390" t="e">
        <f>VLOOKUP(B390,'Location Data'!$C$5:$G$1004,5,FALSE)</f>
        <v>#N/A</v>
      </c>
      <c r="K390" t="e">
        <f>VLOOKUP(C390,'Location Data'!$C$5:$G$1004,4,FALSE)</f>
        <v>#N/A</v>
      </c>
      <c r="L390" t="e">
        <f>VLOOKUP(C390,'Location Data'!$C$5:$G$1004,5,FALSE)</f>
        <v>#N/A</v>
      </c>
    </row>
    <row r="391" spans="1:12" x14ac:dyDescent="0.2">
      <c r="A391">
        <f>'Shipment Data for Provisioning'!B396</f>
        <v>0</v>
      </c>
      <c r="B391">
        <f>'Shipment Data for Provisioning'!C396</f>
        <v>0</v>
      </c>
      <c r="C391">
        <f>'Shipment Data for Provisioning'!D396</f>
        <v>0</v>
      </c>
      <c r="D391">
        <f>'Shipment Data for Provisioning'!E396</f>
        <v>0</v>
      </c>
      <c r="E391">
        <f>'Shipment Data for Provisioning'!F396</f>
        <v>0</v>
      </c>
      <c r="F391">
        <f>'Shipment Data for Provisioning'!G396</f>
        <v>0</v>
      </c>
      <c r="G391">
        <f>'Shipment Data for Provisioning'!H396</f>
        <v>0</v>
      </c>
      <c r="H391">
        <f>'Shipment Data for Provisioning'!I396</f>
        <v>0</v>
      </c>
      <c r="I391" t="e">
        <f>VLOOKUP(B391,'Location Data'!$C$5:$G$1004,4,FALSE)</f>
        <v>#N/A</v>
      </c>
      <c r="J391" t="e">
        <f>VLOOKUP(B391,'Location Data'!$C$5:$G$1004,5,FALSE)</f>
        <v>#N/A</v>
      </c>
      <c r="K391" t="e">
        <f>VLOOKUP(C391,'Location Data'!$C$5:$G$1004,4,FALSE)</f>
        <v>#N/A</v>
      </c>
      <c r="L391" t="e">
        <f>VLOOKUP(C391,'Location Data'!$C$5:$G$1004,5,FALSE)</f>
        <v>#N/A</v>
      </c>
    </row>
    <row r="392" spans="1:12" x14ac:dyDescent="0.2">
      <c r="A392">
        <f>'Shipment Data for Provisioning'!B397</f>
        <v>0</v>
      </c>
      <c r="B392">
        <f>'Shipment Data for Provisioning'!C397</f>
        <v>0</v>
      </c>
      <c r="C392">
        <f>'Shipment Data for Provisioning'!D397</f>
        <v>0</v>
      </c>
      <c r="D392">
        <f>'Shipment Data for Provisioning'!E397</f>
        <v>0</v>
      </c>
      <c r="E392">
        <f>'Shipment Data for Provisioning'!F397</f>
        <v>0</v>
      </c>
      <c r="F392">
        <f>'Shipment Data for Provisioning'!G397</f>
        <v>0</v>
      </c>
      <c r="G392">
        <f>'Shipment Data for Provisioning'!H397</f>
        <v>0</v>
      </c>
      <c r="H392">
        <f>'Shipment Data for Provisioning'!I397</f>
        <v>0</v>
      </c>
      <c r="I392" t="e">
        <f>VLOOKUP(B392,'Location Data'!$C$5:$G$1004,4,FALSE)</f>
        <v>#N/A</v>
      </c>
      <c r="J392" t="e">
        <f>VLOOKUP(B392,'Location Data'!$C$5:$G$1004,5,FALSE)</f>
        <v>#N/A</v>
      </c>
      <c r="K392" t="e">
        <f>VLOOKUP(C392,'Location Data'!$C$5:$G$1004,4,FALSE)</f>
        <v>#N/A</v>
      </c>
      <c r="L392" t="e">
        <f>VLOOKUP(C392,'Location Data'!$C$5:$G$1004,5,FALSE)</f>
        <v>#N/A</v>
      </c>
    </row>
    <row r="393" spans="1:12" x14ac:dyDescent="0.2">
      <c r="A393">
        <f>'Shipment Data for Provisioning'!B398</f>
        <v>0</v>
      </c>
      <c r="B393">
        <f>'Shipment Data for Provisioning'!C398</f>
        <v>0</v>
      </c>
      <c r="C393">
        <f>'Shipment Data for Provisioning'!D398</f>
        <v>0</v>
      </c>
      <c r="D393">
        <f>'Shipment Data for Provisioning'!E398</f>
        <v>0</v>
      </c>
      <c r="E393">
        <f>'Shipment Data for Provisioning'!F398</f>
        <v>0</v>
      </c>
      <c r="F393">
        <f>'Shipment Data for Provisioning'!G398</f>
        <v>0</v>
      </c>
      <c r="G393">
        <f>'Shipment Data for Provisioning'!H398</f>
        <v>0</v>
      </c>
      <c r="H393">
        <f>'Shipment Data for Provisioning'!I398</f>
        <v>0</v>
      </c>
      <c r="I393" t="e">
        <f>VLOOKUP(B393,'Location Data'!$C$5:$G$1004,4,FALSE)</f>
        <v>#N/A</v>
      </c>
      <c r="J393" t="e">
        <f>VLOOKUP(B393,'Location Data'!$C$5:$G$1004,5,FALSE)</f>
        <v>#N/A</v>
      </c>
      <c r="K393" t="e">
        <f>VLOOKUP(C393,'Location Data'!$C$5:$G$1004,4,FALSE)</f>
        <v>#N/A</v>
      </c>
      <c r="L393" t="e">
        <f>VLOOKUP(C393,'Location Data'!$C$5:$G$1004,5,FALSE)</f>
        <v>#N/A</v>
      </c>
    </row>
    <row r="394" spans="1:12" x14ac:dyDescent="0.2">
      <c r="A394">
        <f>'Shipment Data for Provisioning'!B399</f>
        <v>0</v>
      </c>
      <c r="B394">
        <f>'Shipment Data for Provisioning'!C399</f>
        <v>0</v>
      </c>
      <c r="C394">
        <f>'Shipment Data for Provisioning'!D399</f>
        <v>0</v>
      </c>
      <c r="D394">
        <f>'Shipment Data for Provisioning'!E399</f>
        <v>0</v>
      </c>
      <c r="E394">
        <f>'Shipment Data for Provisioning'!F399</f>
        <v>0</v>
      </c>
      <c r="F394">
        <f>'Shipment Data for Provisioning'!G399</f>
        <v>0</v>
      </c>
      <c r="G394">
        <f>'Shipment Data for Provisioning'!H399</f>
        <v>0</v>
      </c>
      <c r="H394">
        <f>'Shipment Data for Provisioning'!I399</f>
        <v>0</v>
      </c>
      <c r="I394" t="e">
        <f>VLOOKUP(B394,'Location Data'!$C$5:$G$1004,4,FALSE)</f>
        <v>#N/A</v>
      </c>
      <c r="J394" t="e">
        <f>VLOOKUP(B394,'Location Data'!$C$5:$G$1004,5,FALSE)</f>
        <v>#N/A</v>
      </c>
      <c r="K394" t="e">
        <f>VLOOKUP(C394,'Location Data'!$C$5:$G$1004,4,FALSE)</f>
        <v>#N/A</v>
      </c>
      <c r="L394" t="e">
        <f>VLOOKUP(C394,'Location Data'!$C$5:$G$1004,5,FALSE)</f>
        <v>#N/A</v>
      </c>
    </row>
    <row r="395" spans="1:12" x14ac:dyDescent="0.2">
      <c r="A395">
        <f>'Shipment Data for Provisioning'!B400</f>
        <v>0</v>
      </c>
      <c r="B395">
        <f>'Shipment Data for Provisioning'!C400</f>
        <v>0</v>
      </c>
      <c r="C395">
        <f>'Shipment Data for Provisioning'!D400</f>
        <v>0</v>
      </c>
      <c r="D395">
        <f>'Shipment Data for Provisioning'!E400</f>
        <v>0</v>
      </c>
      <c r="E395">
        <f>'Shipment Data for Provisioning'!F400</f>
        <v>0</v>
      </c>
      <c r="F395">
        <f>'Shipment Data for Provisioning'!G400</f>
        <v>0</v>
      </c>
      <c r="G395">
        <f>'Shipment Data for Provisioning'!H400</f>
        <v>0</v>
      </c>
      <c r="H395">
        <f>'Shipment Data for Provisioning'!I400</f>
        <v>0</v>
      </c>
      <c r="I395" t="e">
        <f>VLOOKUP(B395,'Location Data'!$C$5:$G$1004,4,FALSE)</f>
        <v>#N/A</v>
      </c>
      <c r="J395" t="e">
        <f>VLOOKUP(B395,'Location Data'!$C$5:$G$1004,5,FALSE)</f>
        <v>#N/A</v>
      </c>
      <c r="K395" t="e">
        <f>VLOOKUP(C395,'Location Data'!$C$5:$G$1004,4,FALSE)</f>
        <v>#N/A</v>
      </c>
      <c r="L395" t="e">
        <f>VLOOKUP(C395,'Location Data'!$C$5:$G$1004,5,FALSE)</f>
        <v>#N/A</v>
      </c>
    </row>
    <row r="396" spans="1:12" x14ac:dyDescent="0.2">
      <c r="A396">
        <f>'Shipment Data for Provisioning'!B401</f>
        <v>0</v>
      </c>
      <c r="B396">
        <f>'Shipment Data for Provisioning'!C401</f>
        <v>0</v>
      </c>
      <c r="C396">
        <f>'Shipment Data for Provisioning'!D401</f>
        <v>0</v>
      </c>
      <c r="D396">
        <f>'Shipment Data for Provisioning'!E401</f>
        <v>0</v>
      </c>
      <c r="E396">
        <f>'Shipment Data for Provisioning'!F401</f>
        <v>0</v>
      </c>
      <c r="F396">
        <f>'Shipment Data for Provisioning'!G401</f>
        <v>0</v>
      </c>
      <c r="G396">
        <f>'Shipment Data for Provisioning'!H401</f>
        <v>0</v>
      </c>
      <c r="H396">
        <f>'Shipment Data for Provisioning'!I401</f>
        <v>0</v>
      </c>
      <c r="I396" t="e">
        <f>VLOOKUP(B396,'Location Data'!$C$5:$G$1004,4,FALSE)</f>
        <v>#N/A</v>
      </c>
      <c r="J396" t="e">
        <f>VLOOKUP(B396,'Location Data'!$C$5:$G$1004,5,FALSE)</f>
        <v>#N/A</v>
      </c>
      <c r="K396" t="e">
        <f>VLOOKUP(C396,'Location Data'!$C$5:$G$1004,4,FALSE)</f>
        <v>#N/A</v>
      </c>
      <c r="L396" t="e">
        <f>VLOOKUP(C396,'Location Data'!$C$5:$G$1004,5,FALSE)</f>
        <v>#N/A</v>
      </c>
    </row>
    <row r="397" spans="1:12" x14ac:dyDescent="0.2">
      <c r="A397">
        <f>'Shipment Data for Provisioning'!B402</f>
        <v>0</v>
      </c>
      <c r="B397">
        <f>'Shipment Data for Provisioning'!C402</f>
        <v>0</v>
      </c>
      <c r="C397">
        <f>'Shipment Data for Provisioning'!D402</f>
        <v>0</v>
      </c>
      <c r="D397">
        <f>'Shipment Data for Provisioning'!E402</f>
        <v>0</v>
      </c>
      <c r="E397">
        <f>'Shipment Data for Provisioning'!F402</f>
        <v>0</v>
      </c>
      <c r="F397">
        <f>'Shipment Data for Provisioning'!G402</f>
        <v>0</v>
      </c>
      <c r="G397">
        <f>'Shipment Data for Provisioning'!H402</f>
        <v>0</v>
      </c>
      <c r="H397">
        <f>'Shipment Data for Provisioning'!I402</f>
        <v>0</v>
      </c>
      <c r="I397" t="e">
        <f>VLOOKUP(B397,'Location Data'!$C$5:$G$1004,4,FALSE)</f>
        <v>#N/A</v>
      </c>
      <c r="J397" t="e">
        <f>VLOOKUP(B397,'Location Data'!$C$5:$G$1004,5,FALSE)</f>
        <v>#N/A</v>
      </c>
      <c r="K397" t="e">
        <f>VLOOKUP(C397,'Location Data'!$C$5:$G$1004,4,FALSE)</f>
        <v>#N/A</v>
      </c>
      <c r="L397" t="e">
        <f>VLOOKUP(C397,'Location Data'!$C$5:$G$1004,5,FALSE)</f>
        <v>#N/A</v>
      </c>
    </row>
    <row r="398" spans="1:12" x14ac:dyDescent="0.2">
      <c r="A398">
        <f>'Shipment Data for Provisioning'!B403</f>
        <v>0</v>
      </c>
      <c r="B398">
        <f>'Shipment Data for Provisioning'!C403</f>
        <v>0</v>
      </c>
      <c r="C398">
        <f>'Shipment Data for Provisioning'!D403</f>
        <v>0</v>
      </c>
      <c r="D398">
        <f>'Shipment Data for Provisioning'!E403</f>
        <v>0</v>
      </c>
      <c r="E398">
        <f>'Shipment Data for Provisioning'!F403</f>
        <v>0</v>
      </c>
      <c r="F398">
        <f>'Shipment Data for Provisioning'!G403</f>
        <v>0</v>
      </c>
      <c r="G398">
        <f>'Shipment Data for Provisioning'!H403</f>
        <v>0</v>
      </c>
      <c r="H398">
        <f>'Shipment Data for Provisioning'!I403</f>
        <v>0</v>
      </c>
      <c r="I398" t="e">
        <f>VLOOKUP(B398,'Location Data'!$C$5:$G$1004,4,FALSE)</f>
        <v>#N/A</v>
      </c>
      <c r="J398" t="e">
        <f>VLOOKUP(B398,'Location Data'!$C$5:$G$1004,5,FALSE)</f>
        <v>#N/A</v>
      </c>
      <c r="K398" t="e">
        <f>VLOOKUP(C398,'Location Data'!$C$5:$G$1004,4,FALSE)</f>
        <v>#N/A</v>
      </c>
      <c r="L398" t="e">
        <f>VLOOKUP(C398,'Location Data'!$C$5:$G$1004,5,FALSE)</f>
        <v>#N/A</v>
      </c>
    </row>
    <row r="399" spans="1:12" x14ac:dyDescent="0.2">
      <c r="A399">
        <f>'Shipment Data for Provisioning'!B404</f>
        <v>0</v>
      </c>
      <c r="B399">
        <f>'Shipment Data for Provisioning'!C404</f>
        <v>0</v>
      </c>
      <c r="C399">
        <f>'Shipment Data for Provisioning'!D404</f>
        <v>0</v>
      </c>
      <c r="D399">
        <f>'Shipment Data for Provisioning'!E404</f>
        <v>0</v>
      </c>
      <c r="E399">
        <f>'Shipment Data for Provisioning'!F404</f>
        <v>0</v>
      </c>
      <c r="F399">
        <f>'Shipment Data for Provisioning'!G404</f>
        <v>0</v>
      </c>
      <c r="G399">
        <f>'Shipment Data for Provisioning'!H404</f>
        <v>0</v>
      </c>
      <c r="H399">
        <f>'Shipment Data for Provisioning'!I404</f>
        <v>0</v>
      </c>
      <c r="I399" t="e">
        <f>VLOOKUP(B399,'Location Data'!$C$5:$G$1004,4,FALSE)</f>
        <v>#N/A</v>
      </c>
      <c r="J399" t="e">
        <f>VLOOKUP(B399,'Location Data'!$C$5:$G$1004,5,FALSE)</f>
        <v>#N/A</v>
      </c>
      <c r="K399" t="e">
        <f>VLOOKUP(C399,'Location Data'!$C$5:$G$1004,4,FALSE)</f>
        <v>#N/A</v>
      </c>
      <c r="L399" t="e">
        <f>VLOOKUP(C399,'Location Data'!$C$5:$G$1004,5,FALSE)</f>
        <v>#N/A</v>
      </c>
    </row>
    <row r="400" spans="1:12" x14ac:dyDescent="0.2">
      <c r="A400">
        <f>'Shipment Data for Provisioning'!B405</f>
        <v>0</v>
      </c>
      <c r="B400">
        <f>'Shipment Data for Provisioning'!C405</f>
        <v>0</v>
      </c>
      <c r="C400">
        <f>'Shipment Data for Provisioning'!D405</f>
        <v>0</v>
      </c>
      <c r="D400">
        <f>'Shipment Data for Provisioning'!E405</f>
        <v>0</v>
      </c>
      <c r="E400">
        <f>'Shipment Data for Provisioning'!F405</f>
        <v>0</v>
      </c>
      <c r="F400">
        <f>'Shipment Data for Provisioning'!G405</f>
        <v>0</v>
      </c>
      <c r="G400">
        <f>'Shipment Data for Provisioning'!H405</f>
        <v>0</v>
      </c>
      <c r="H400">
        <f>'Shipment Data for Provisioning'!I405</f>
        <v>0</v>
      </c>
      <c r="I400" t="e">
        <f>VLOOKUP(B400,'Location Data'!$C$5:$G$1004,4,FALSE)</f>
        <v>#N/A</v>
      </c>
      <c r="J400" t="e">
        <f>VLOOKUP(B400,'Location Data'!$C$5:$G$1004,5,FALSE)</f>
        <v>#N/A</v>
      </c>
      <c r="K400" t="e">
        <f>VLOOKUP(C400,'Location Data'!$C$5:$G$1004,4,FALSE)</f>
        <v>#N/A</v>
      </c>
      <c r="L400" t="e">
        <f>VLOOKUP(C400,'Location Data'!$C$5:$G$1004,5,FALSE)</f>
        <v>#N/A</v>
      </c>
    </row>
    <row r="401" spans="1:12" x14ac:dyDescent="0.2">
      <c r="A401">
        <f>'Shipment Data for Provisioning'!B406</f>
        <v>0</v>
      </c>
      <c r="B401">
        <f>'Shipment Data for Provisioning'!C406</f>
        <v>0</v>
      </c>
      <c r="C401">
        <f>'Shipment Data for Provisioning'!D406</f>
        <v>0</v>
      </c>
      <c r="D401">
        <f>'Shipment Data for Provisioning'!E406</f>
        <v>0</v>
      </c>
      <c r="E401">
        <f>'Shipment Data for Provisioning'!F406</f>
        <v>0</v>
      </c>
      <c r="F401">
        <f>'Shipment Data for Provisioning'!G406</f>
        <v>0</v>
      </c>
      <c r="G401">
        <f>'Shipment Data for Provisioning'!H406</f>
        <v>0</v>
      </c>
      <c r="H401">
        <f>'Shipment Data for Provisioning'!I406</f>
        <v>0</v>
      </c>
      <c r="I401" t="e">
        <f>VLOOKUP(B401,'Location Data'!$C$5:$G$1004,4,FALSE)</f>
        <v>#N/A</v>
      </c>
      <c r="J401" t="e">
        <f>VLOOKUP(B401,'Location Data'!$C$5:$G$1004,5,FALSE)</f>
        <v>#N/A</v>
      </c>
      <c r="K401" t="e">
        <f>VLOOKUP(C401,'Location Data'!$C$5:$G$1004,4,FALSE)</f>
        <v>#N/A</v>
      </c>
      <c r="L401" t="e">
        <f>VLOOKUP(C401,'Location Data'!$C$5:$G$1004,5,FALSE)</f>
        <v>#N/A</v>
      </c>
    </row>
    <row r="402" spans="1:12" x14ac:dyDescent="0.2">
      <c r="A402">
        <f>'Shipment Data for Provisioning'!B407</f>
        <v>0</v>
      </c>
      <c r="B402">
        <f>'Shipment Data for Provisioning'!C407</f>
        <v>0</v>
      </c>
      <c r="C402">
        <f>'Shipment Data for Provisioning'!D407</f>
        <v>0</v>
      </c>
      <c r="D402">
        <f>'Shipment Data for Provisioning'!E407</f>
        <v>0</v>
      </c>
      <c r="E402">
        <f>'Shipment Data for Provisioning'!F407</f>
        <v>0</v>
      </c>
      <c r="F402">
        <f>'Shipment Data for Provisioning'!G407</f>
        <v>0</v>
      </c>
      <c r="G402">
        <f>'Shipment Data for Provisioning'!H407</f>
        <v>0</v>
      </c>
      <c r="H402">
        <f>'Shipment Data for Provisioning'!I407</f>
        <v>0</v>
      </c>
      <c r="I402" t="e">
        <f>VLOOKUP(B402,'Location Data'!$C$5:$G$1004,4,FALSE)</f>
        <v>#N/A</v>
      </c>
      <c r="J402" t="e">
        <f>VLOOKUP(B402,'Location Data'!$C$5:$G$1004,5,FALSE)</f>
        <v>#N/A</v>
      </c>
      <c r="K402" t="e">
        <f>VLOOKUP(C402,'Location Data'!$C$5:$G$1004,4,FALSE)</f>
        <v>#N/A</v>
      </c>
      <c r="L402" t="e">
        <f>VLOOKUP(C402,'Location Data'!$C$5:$G$1004,5,FALSE)</f>
        <v>#N/A</v>
      </c>
    </row>
    <row r="403" spans="1:12" x14ac:dyDescent="0.2">
      <c r="A403">
        <f>'Shipment Data for Provisioning'!B408</f>
        <v>0</v>
      </c>
      <c r="B403">
        <f>'Shipment Data for Provisioning'!C408</f>
        <v>0</v>
      </c>
      <c r="C403">
        <f>'Shipment Data for Provisioning'!D408</f>
        <v>0</v>
      </c>
      <c r="D403">
        <f>'Shipment Data for Provisioning'!E408</f>
        <v>0</v>
      </c>
      <c r="E403">
        <f>'Shipment Data for Provisioning'!F408</f>
        <v>0</v>
      </c>
      <c r="F403">
        <f>'Shipment Data for Provisioning'!G408</f>
        <v>0</v>
      </c>
      <c r="G403">
        <f>'Shipment Data for Provisioning'!H408</f>
        <v>0</v>
      </c>
      <c r="H403">
        <f>'Shipment Data for Provisioning'!I408</f>
        <v>0</v>
      </c>
      <c r="I403" t="e">
        <f>VLOOKUP(B403,'Location Data'!$C$5:$G$1004,4,FALSE)</f>
        <v>#N/A</v>
      </c>
      <c r="J403" t="e">
        <f>VLOOKUP(B403,'Location Data'!$C$5:$G$1004,5,FALSE)</f>
        <v>#N/A</v>
      </c>
      <c r="K403" t="e">
        <f>VLOOKUP(C403,'Location Data'!$C$5:$G$1004,4,FALSE)</f>
        <v>#N/A</v>
      </c>
      <c r="L403" t="e">
        <f>VLOOKUP(C403,'Location Data'!$C$5:$G$1004,5,FALSE)</f>
        <v>#N/A</v>
      </c>
    </row>
    <row r="404" spans="1:12" x14ac:dyDescent="0.2">
      <c r="A404">
        <f>'Shipment Data for Provisioning'!B409</f>
        <v>0</v>
      </c>
      <c r="B404">
        <f>'Shipment Data for Provisioning'!C409</f>
        <v>0</v>
      </c>
      <c r="C404">
        <f>'Shipment Data for Provisioning'!D409</f>
        <v>0</v>
      </c>
      <c r="D404">
        <f>'Shipment Data for Provisioning'!E409</f>
        <v>0</v>
      </c>
      <c r="E404">
        <f>'Shipment Data for Provisioning'!F409</f>
        <v>0</v>
      </c>
      <c r="F404">
        <f>'Shipment Data for Provisioning'!G409</f>
        <v>0</v>
      </c>
      <c r="G404">
        <f>'Shipment Data for Provisioning'!H409</f>
        <v>0</v>
      </c>
      <c r="H404">
        <f>'Shipment Data for Provisioning'!I409</f>
        <v>0</v>
      </c>
      <c r="I404" t="e">
        <f>VLOOKUP(B404,'Location Data'!$C$5:$G$1004,4,FALSE)</f>
        <v>#N/A</v>
      </c>
      <c r="J404" t="e">
        <f>VLOOKUP(B404,'Location Data'!$C$5:$G$1004,5,FALSE)</f>
        <v>#N/A</v>
      </c>
      <c r="K404" t="e">
        <f>VLOOKUP(C404,'Location Data'!$C$5:$G$1004,4,FALSE)</f>
        <v>#N/A</v>
      </c>
      <c r="L404" t="e">
        <f>VLOOKUP(C404,'Location Data'!$C$5:$G$1004,5,FALSE)</f>
        <v>#N/A</v>
      </c>
    </row>
    <row r="405" spans="1:12" x14ac:dyDescent="0.2">
      <c r="A405">
        <f>'Shipment Data for Provisioning'!B410</f>
        <v>0</v>
      </c>
      <c r="B405">
        <f>'Shipment Data for Provisioning'!C410</f>
        <v>0</v>
      </c>
      <c r="C405">
        <f>'Shipment Data for Provisioning'!D410</f>
        <v>0</v>
      </c>
      <c r="D405">
        <f>'Shipment Data for Provisioning'!E410</f>
        <v>0</v>
      </c>
      <c r="E405">
        <f>'Shipment Data for Provisioning'!F410</f>
        <v>0</v>
      </c>
      <c r="F405">
        <f>'Shipment Data for Provisioning'!G410</f>
        <v>0</v>
      </c>
      <c r="G405">
        <f>'Shipment Data for Provisioning'!H410</f>
        <v>0</v>
      </c>
      <c r="H405">
        <f>'Shipment Data for Provisioning'!I410</f>
        <v>0</v>
      </c>
      <c r="I405" t="e">
        <f>VLOOKUP(B405,'Location Data'!$C$5:$G$1004,4,FALSE)</f>
        <v>#N/A</v>
      </c>
      <c r="J405" t="e">
        <f>VLOOKUP(B405,'Location Data'!$C$5:$G$1004,5,FALSE)</f>
        <v>#N/A</v>
      </c>
      <c r="K405" t="e">
        <f>VLOOKUP(C405,'Location Data'!$C$5:$G$1004,4,FALSE)</f>
        <v>#N/A</v>
      </c>
      <c r="L405" t="e">
        <f>VLOOKUP(C405,'Location Data'!$C$5:$G$1004,5,FALSE)</f>
        <v>#N/A</v>
      </c>
    </row>
    <row r="406" spans="1:12" x14ac:dyDescent="0.2">
      <c r="A406">
        <f>'Shipment Data for Provisioning'!B411</f>
        <v>0</v>
      </c>
      <c r="B406">
        <f>'Shipment Data for Provisioning'!C411</f>
        <v>0</v>
      </c>
      <c r="C406">
        <f>'Shipment Data for Provisioning'!D411</f>
        <v>0</v>
      </c>
      <c r="D406">
        <f>'Shipment Data for Provisioning'!E411</f>
        <v>0</v>
      </c>
      <c r="E406">
        <f>'Shipment Data for Provisioning'!F411</f>
        <v>0</v>
      </c>
      <c r="F406">
        <f>'Shipment Data for Provisioning'!G411</f>
        <v>0</v>
      </c>
      <c r="G406">
        <f>'Shipment Data for Provisioning'!H411</f>
        <v>0</v>
      </c>
      <c r="H406">
        <f>'Shipment Data for Provisioning'!I411</f>
        <v>0</v>
      </c>
      <c r="I406" t="e">
        <f>VLOOKUP(B406,'Location Data'!$C$5:$G$1004,4,FALSE)</f>
        <v>#N/A</v>
      </c>
      <c r="J406" t="e">
        <f>VLOOKUP(B406,'Location Data'!$C$5:$G$1004,5,FALSE)</f>
        <v>#N/A</v>
      </c>
      <c r="K406" t="e">
        <f>VLOOKUP(C406,'Location Data'!$C$5:$G$1004,4,FALSE)</f>
        <v>#N/A</v>
      </c>
      <c r="L406" t="e">
        <f>VLOOKUP(C406,'Location Data'!$C$5:$G$1004,5,FALSE)</f>
        <v>#N/A</v>
      </c>
    </row>
    <row r="407" spans="1:12" x14ac:dyDescent="0.2">
      <c r="A407">
        <f>'Shipment Data for Provisioning'!B412</f>
        <v>0</v>
      </c>
      <c r="B407">
        <f>'Shipment Data for Provisioning'!C412</f>
        <v>0</v>
      </c>
      <c r="C407">
        <f>'Shipment Data for Provisioning'!D412</f>
        <v>0</v>
      </c>
      <c r="D407">
        <f>'Shipment Data for Provisioning'!E412</f>
        <v>0</v>
      </c>
      <c r="E407">
        <f>'Shipment Data for Provisioning'!F412</f>
        <v>0</v>
      </c>
      <c r="F407">
        <f>'Shipment Data for Provisioning'!G412</f>
        <v>0</v>
      </c>
      <c r="G407">
        <f>'Shipment Data for Provisioning'!H412</f>
        <v>0</v>
      </c>
      <c r="H407">
        <f>'Shipment Data for Provisioning'!I412</f>
        <v>0</v>
      </c>
      <c r="I407" t="e">
        <f>VLOOKUP(B407,'Location Data'!$C$5:$G$1004,4,FALSE)</f>
        <v>#N/A</v>
      </c>
      <c r="J407" t="e">
        <f>VLOOKUP(B407,'Location Data'!$C$5:$G$1004,5,FALSE)</f>
        <v>#N/A</v>
      </c>
      <c r="K407" t="e">
        <f>VLOOKUP(C407,'Location Data'!$C$5:$G$1004,4,FALSE)</f>
        <v>#N/A</v>
      </c>
      <c r="L407" t="e">
        <f>VLOOKUP(C407,'Location Data'!$C$5:$G$1004,5,FALSE)</f>
        <v>#N/A</v>
      </c>
    </row>
    <row r="408" spans="1:12" x14ac:dyDescent="0.2">
      <c r="A408">
        <f>'Shipment Data for Provisioning'!B413</f>
        <v>0</v>
      </c>
      <c r="B408">
        <f>'Shipment Data for Provisioning'!C413</f>
        <v>0</v>
      </c>
      <c r="C408">
        <f>'Shipment Data for Provisioning'!D413</f>
        <v>0</v>
      </c>
      <c r="D408">
        <f>'Shipment Data for Provisioning'!E413</f>
        <v>0</v>
      </c>
      <c r="E408">
        <f>'Shipment Data for Provisioning'!F413</f>
        <v>0</v>
      </c>
      <c r="F408">
        <f>'Shipment Data for Provisioning'!G413</f>
        <v>0</v>
      </c>
      <c r="G408">
        <f>'Shipment Data for Provisioning'!H413</f>
        <v>0</v>
      </c>
      <c r="H408">
        <f>'Shipment Data for Provisioning'!I413</f>
        <v>0</v>
      </c>
      <c r="I408" t="e">
        <f>VLOOKUP(B408,'Location Data'!$C$5:$G$1004,4,FALSE)</f>
        <v>#N/A</v>
      </c>
      <c r="J408" t="e">
        <f>VLOOKUP(B408,'Location Data'!$C$5:$G$1004,5,FALSE)</f>
        <v>#N/A</v>
      </c>
      <c r="K408" t="e">
        <f>VLOOKUP(C408,'Location Data'!$C$5:$G$1004,4,FALSE)</f>
        <v>#N/A</v>
      </c>
      <c r="L408" t="e">
        <f>VLOOKUP(C408,'Location Data'!$C$5:$G$1004,5,FALSE)</f>
        <v>#N/A</v>
      </c>
    </row>
    <row r="409" spans="1:12" x14ac:dyDescent="0.2">
      <c r="A409">
        <f>'Shipment Data for Provisioning'!B414</f>
        <v>0</v>
      </c>
      <c r="B409">
        <f>'Shipment Data for Provisioning'!C414</f>
        <v>0</v>
      </c>
      <c r="C409">
        <f>'Shipment Data for Provisioning'!D414</f>
        <v>0</v>
      </c>
      <c r="D409">
        <f>'Shipment Data for Provisioning'!E414</f>
        <v>0</v>
      </c>
      <c r="E409">
        <f>'Shipment Data for Provisioning'!F414</f>
        <v>0</v>
      </c>
      <c r="F409">
        <f>'Shipment Data for Provisioning'!G414</f>
        <v>0</v>
      </c>
      <c r="G409">
        <f>'Shipment Data for Provisioning'!H414</f>
        <v>0</v>
      </c>
      <c r="H409">
        <f>'Shipment Data for Provisioning'!I414</f>
        <v>0</v>
      </c>
      <c r="I409" t="e">
        <f>VLOOKUP(B409,'Location Data'!$C$5:$G$1004,4,FALSE)</f>
        <v>#N/A</v>
      </c>
      <c r="J409" t="e">
        <f>VLOOKUP(B409,'Location Data'!$C$5:$G$1004,5,FALSE)</f>
        <v>#N/A</v>
      </c>
      <c r="K409" t="e">
        <f>VLOOKUP(C409,'Location Data'!$C$5:$G$1004,4,FALSE)</f>
        <v>#N/A</v>
      </c>
      <c r="L409" t="e">
        <f>VLOOKUP(C409,'Location Data'!$C$5:$G$1004,5,FALSE)</f>
        <v>#N/A</v>
      </c>
    </row>
    <row r="410" spans="1:12" x14ac:dyDescent="0.2">
      <c r="A410">
        <f>'Shipment Data for Provisioning'!B415</f>
        <v>0</v>
      </c>
      <c r="B410">
        <f>'Shipment Data for Provisioning'!C415</f>
        <v>0</v>
      </c>
      <c r="C410">
        <f>'Shipment Data for Provisioning'!D415</f>
        <v>0</v>
      </c>
      <c r="D410">
        <f>'Shipment Data for Provisioning'!E415</f>
        <v>0</v>
      </c>
      <c r="E410">
        <f>'Shipment Data for Provisioning'!F415</f>
        <v>0</v>
      </c>
      <c r="F410">
        <f>'Shipment Data for Provisioning'!G415</f>
        <v>0</v>
      </c>
      <c r="G410">
        <f>'Shipment Data for Provisioning'!H415</f>
        <v>0</v>
      </c>
      <c r="H410">
        <f>'Shipment Data for Provisioning'!I415</f>
        <v>0</v>
      </c>
      <c r="I410" t="e">
        <f>VLOOKUP(B410,'Location Data'!$C$5:$G$1004,4,FALSE)</f>
        <v>#N/A</v>
      </c>
      <c r="J410" t="e">
        <f>VLOOKUP(B410,'Location Data'!$C$5:$G$1004,5,FALSE)</f>
        <v>#N/A</v>
      </c>
      <c r="K410" t="e">
        <f>VLOOKUP(C410,'Location Data'!$C$5:$G$1004,4,FALSE)</f>
        <v>#N/A</v>
      </c>
      <c r="L410" t="e">
        <f>VLOOKUP(C410,'Location Data'!$C$5:$G$1004,5,FALSE)</f>
        <v>#N/A</v>
      </c>
    </row>
    <row r="411" spans="1:12" x14ac:dyDescent="0.2">
      <c r="A411">
        <f>'Shipment Data for Provisioning'!B416</f>
        <v>0</v>
      </c>
      <c r="B411">
        <f>'Shipment Data for Provisioning'!C416</f>
        <v>0</v>
      </c>
      <c r="C411">
        <f>'Shipment Data for Provisioning'!D416</f>
        <v>0</v>
      </c>
      <c r="D411">
        <f>'Shipment Data for Provisioning'!E416</f>
        <v>0</v>
      </c>
      <c r="E411">
        <f>'Shipment Data for Provisioning'!F416</f>
        <v>0</v>
      </c>
      <c r="F411">
        <f>'Shipment Data for Provisioning'!G416</f>
        <v>0</v>
      </c>
      <c r="G411">
        <f>'Shipment Data for Provisioning'!H416</f>
        <v>0</v>
      </c>
      <c r="H411">
        <f>'Shipment Data for Provisioning'!I416</f>
        <v>0</v>
      </c>
      <c r="I411" t="e">
        <f>VLOOKUP(B411,'Location Data'!$C$5:$G$1004,4,FALSE)</f>
        <v>#N/A</v>
      </c>
      <c r="J411" t="e">
        <f>VLOOKUP(B411,'Location Data'!$C$5:$G$1004,5,FALSE)</f>
        <v>#N/A</v>
      </c>
      <c r="K411" t="e">
        <f>VLOOKUP(C411,'Location Data'!$C$5:$G$1004,4,FALSE)</f>
        <v>#N/A</v>
      </c>
      <c r="L411" t="e">
        <f>VLOOKUP(C411,'Location Data'!$C$5:$G$1004,5,FALSE)</f>
        <v>#N/A</v>
      </c>
    </row>
    <row r="412" spans="1:12" x14ac:dyDescent="0.2">
      <c r="A412">
        <f>'Shipment Data for Provisioning'!B417</f>
        <v>0</v>
      </c>
      <c r="B412">
        <f>'Shipment Data for Provisioning'!C417</f>
        <v>0</v>
      </c>
      <c r="C412">
        <f>'Shipment Data for Provisioning'!D417</f>
        <v>0</v>
      </c>
      <c r="D412">
        <f>'Shipment Data for Provisioning'!E417</f>
        <v>0</v>
      </c>
      <c r="E412">
        <f>'Shipment Data for Provisioning'!F417</f>
        <v>0</v>
      </c>
      <c r="F412">
        <f>'Shipment Data for Provisioning'!G417</f>
        <v>0</v>
      </c>
      <c r="G412">
        <f>'Shipment Data for Provisioning'!H417</f>
        <v>0</v>
      </c>
      <c r="H412">
        <f>'Shipment Data for Provisioning'!I417</f>
        <v>0</v>
      </c>
      <c r="I412" t="e">
        <f>VLOOKUP(B412,'Location Data'!$C$5:$G$1004,4,FALSE)</f>
        <v>#N/A</v>
      </c>
      <c r="J412" t="e">
        <f>VLOOKUP(B412,'Location Data'!$C$5:$G$1004,5,FALSE)</f>
        <v>#N/A</v>
      </c>
      <c r="K412" t="e">
        <f>VLOOKUP(C412,'Location Data'!$C$5:$G$1004,4,FALSE)</f>
        <v>#N/A</v>
      </c>
      <c r="L412" t="e">
        <f>VLOOKUP(C412,'Location Data'!$C$5:$G$1004,5,FALSE)</f>
        <v>#N/A</v>
      </c>
    </row>
    <row r="413" spans="1:12" x14ac:dyDescent="0.2">
      <c r="A413">
        <f>'Shipment Data for Provisioning'!B418</f>
        <v>0</v>
      </c>
      <c r="B413">
        <f>'Shipment Data for Provisioning'!C418</f>
        <v>0</v>
      </c>
      <c r="C413">
        <f>'Shipment Data for Provisioning'!D418</f>
        <v>0</v>
      </c>
      <c r="D413">
        <f>'Shipment Data for Provisioning'!E418</f>
        <v>0</v>
      </c>
      <c r="E413">
        <f>'Shipment Data for Provisioning'!F418</f>
        <v>0</v>
      </c>
      <c r="F413">
        <f>'Shipment Data for Provisioning'!G418</f>
        <v>0</v>
      </c>
      <c r="G413">
        <f>'Shipment Data for Provisioning'!H418</f>
        <v>0</v>
      </c>
      <c r="H413">
        <f>'Shipment Data for Provisioning'!I418</f>
        <v>0</v>
      </c>
      <c r="I413" t="e">
        <f>VLOOKUP(B413,'Location Data'!$C$5:$G$1004,4,FALSE)</f>
        <v>#N/A</v>
      </c>
      <c r="J413" t="e">
        <f>VLOOKUP(B413,'Location Data'!$C$5:$G$1004,5,FALSE)</f>
        <v>#N/A</v>
      </c>
      <c r="K413" t="e">
        <f>VLOOKUP(C413,'Location Data'!$C$5:$G$1004,4,FALSE)</f>
        <v>#N/A</v>
      </c>
      <c r="L413" t="e">
        <f>VLOOKUP(C413,'Location Data'!$C$5:$G$1004,5,FALSE)</f>
        <v>#N/A</v>
      </c>
    </row>
    <row r="414" spans="1:12" x14ac:dyDescent="0.2">
      <c r="A414">
        <f>'Shipment Data for Provisioning'!B419</f>
        <v>0</v>
      </c>
      <c r="B414">
        <f>'Shipment Data for Provisioning'!C419</f>
        <v>0</v>
      </c>
      <c r="C414">
        <f>'Shipment Data for Provisioning'!D419</f>
        <v>0</v>
      </c>
      <c r="D414">
        <f>'Shipment Data for Provisioning'!E419</f>
        <v>0</v>
      </c>
      <c r="E414">
        <f>'Shipment Data for Provisioning'!F419</f>
        <v>0</v>
      </c>
      <c r="F414">
        <f>'Shipment Data for Provisioning'!G419</f>
        <v>0</v>
      </c>
      <c r="G414">
        <f>'Shipment Data for Provisioning'!H419</f>
        <v>0</v>
      </c>
      <c r="H414">
        <f>'Shipment Data for Provisioning'!I419</f>
        <v>0</v>
      </c>
      <c r="I414" t="e">
        <f>VLOOKUP(B414,'Location Data'!$C$5:$G$1004,4,FALSE)</f>
        <v>#N/A</v>
      </c>
      <c r="J414" t="e">
        <f>VLOOKUP(B414,'Location Data'!$C$5:$G$1004,5,FALSE)</f>
        <v>#N/A</v>
      </c>
      <c r="K414" t="e">
        <f>VLOOKUP(C414,'Location Data'!$C$5:$G$1004,4,FALSE)</f>
        <v>#N/A</v>
      </c>
      <c r="L414" t="e">
        <f>VLOOKUP(C414,'Location Data'!$C$5:$G$1004,5,FALSE)</f>
        <v>#N/A</v>
      </c>
    </row>
    <row r="415" spans="1:12" x14ac:dyDescent="0.2">
      <c r="A415">
        <f>'Shipment Data for Provisioning'!B420</f>
        <v>0</v>
      </c>
      <c r="B415">
        <f>'Shipment Data for Provisioning'!C420</f>
        <v>0</v>
      </c>
      <c r="C415">
        <f>'Shipment Data for Provisioning'!D420</f>
        <v>0</v>
      </c>
      <c r="D415">
        <f>'Shipment Data for Provisioning'!E420</f>
        <v>0</v>
      </c>
      <c r="E415">
        <f>'Shipment Data for Provisioning'!F420</f>
        <v>0</v>
      </c>
      <c r="F415">
        <f>'Shipment Data for Provisioning'!G420</f>
        <v>0</v>
      </c>
      <c r="G415">
        <f>'Shipment Data for Provisioning'!H420</f>
        <v>0</v>
      </c>
      <c r="H415">
        <f>'Shipment Data for Provisioning'!I420</f>
        <v>0</v>
      </c>
      <c r="I415" t="e">
        <f>VLOOKUP(B415,'Location Data'!$C$5:$G$1004,4,FALSE)</f>
        <v>#N/A</v>
      </c>
      <c r="J415" t="e">
        <f>VLOOKUP(B415,'Location Data'!$C$5:$G$1004,5,FALSE)</f>
        <v>#N/A</v>
      </c>
      <c r="K415" t="e">
        <f>VLOOKUP(C415,'Location Data'!$C$5:$G$1004,4,FALSE)</f>
        <v>#N/A</v>
      </c>
      <c r="L415" t="e">
        <f>VLOOKUP(C415,'Location Data'!$C$5:$G$1004,5,FALSE)</f>
        <v>#N/A</v>
      </c>
    </row>
    <row r="416" spans="1:12" x14ac:dyDescent="0.2">
      <c r="A416">
        <f>'Shipment Data for Provisioning'!B421</f>
        <v>0</v>
      </c>
      <c r="B416">
        <f>'Shipment Data for Provisioning'!C421</f>
        <v>0</v>
      </c>
      <c r="C416">
        <f>'Shipment Data for Provisioning'!D421</f>
        <v>0</v>
      </c>
      <c r="D416">
        <f>'Shipment Data for Provisioning'!E421</f>
        <v>0</v>
      </c>
      <c r="E416">
        <f>'Shipment Data for Provisioning'!F421</f>
        <v>0</v>
      </c>
      <c r="F416">
        <f>'Shipment Data for Provisioning'!G421</f>
        <v>0</v>
      </c>
      <c r="G416">
        <f>'Shipment Data for Provisioning'!H421</f>
        <v>0</v>
      </c>
      <c r="H416">
        <f>'Shipment Data for Provisioning'!I421</f>
        <v>0</v>
      </c>
      <c r="I416" t="e">
        <f>VLOOKUP(B416,'Location Data'!$C$5:$G$1004,4,FALSE)</f>
        <v>#N/A</v>
      </c>
      <c r="J416" t="e">
        <f>VLOOKUP(B416,'Location Data'!$C$5:$G$1004,5,FALSE)</f>
        <v>#N/A</v>
      </c>
      <c r="K416" t="e">
        <f>VLOOKUP(C416,'Location Data'!$C$5:$G$1004,4,FALSE)</f>
        <v>#N/A</v>
      </c>
      <c r="L416" t="e">
        <f>VLOOKUP(C416,'Location Data'!$C$5:$G$1004,5,FALSE)</f>
        <v>#N/A</v>
      </c>
    </row>
    <row r="417" spans="1:12" x14ac:dyDescent="0.2">
      <c r="A417">
        <f>'Shipment Data for Provisioning'!B422</f>
        <v>0</v>
      </c>
      <c r="B417">
        <f>'Shipment Data for Provisioning'!C422</f>
        <v>0</v>
      </c>
      <c r="C417">
        <f>'Shipment Data for Provisioning'!D422</f>
        <v>0</v>
      </c>
      <c r="D417">
        <f>'Shipment Data for Provisioning'!E422</f>
        <v>0</v>
      </c>
      <c r="E417">
        <f>'Shipment Data for Provisioning'!F422</f>
        <v>0</v>
      </c>
      <c r="F417">
        <f>'Shipment Data for Provisioning'!G422</f>
        <v>0</v>
      </c>
      <c r="G417">
        <f>'Shipment Data for Provisioning'!H422</f>
        <v>0</v>
      </c>
      <c r="H417">
        <f>'Shipment Data for Provisioning'!I422</f>
        <v>0</v>
      </c>
      <c r="I417" t="e">
        <f>VLOOKUP(B417,'Location Data'!$C$5:$G$1004,4,FALSE)</f>
        <v>#N/A</v>
      </c>
      <c r="J417" t="e">
        <f>VLOOKUP(B417,'Location Data'!$C$5:$G$1004,5,FALSE)</f>
        <v>#N/A</v>
      </c>
      <c r="K417" t="e">
        <f>VLOOKUP(C417,'Location Data'!$C$5:$G$1004,4,FALSE)</f>
        <v>#N/A</v>
      </c>
      <c r="L417" t="e">
        <f>VLOOKUP(C417,'Location Data'!$C$5:$G$1004,5,FALSE)</f>
        <v>#N/A</v>
      </c>
    </row>
    <row r="418" spans="1:12" x14ac:dyDescent="0.2">
      <c r="A418">
        <f>'Shipment Data for Provisioning'!B423</f>
        <v>0</v>
      </c>
      <c r="B418">
        <f>'Shipment Data for Provisioning'!C423</f>
        <v>0</v>
      </c>
      <c r="C418">
        <f>'Shipment Data for Provisioning'!D423</f>
        <v>0</v>
      </c>
      <c r="D418">
        <f>'Shipment Data for Provisioning'!E423</f>
        <v>0</v>
      </c>
      <c r="E418">
        <f>'Shipment Data for Provisioning'!F423</f>
        <v>0</v>
      </c>
      <c r="F418">
        <f>'Shipment Data for Provisioning'!G423</f>
        <v>0</v>
      </c>
      <c r="G418">
        <f>'Shipment Data for Provisioning'!H423</f>
        <v>0</v>
      </c>
      <c r="H418">
        <f>'Shipment Data for Provisioning'!I423</f>
        <v>0</v>
      </c>
      <c r="I418" t="e">
        <f>VLOOKUP(B418,'Location Data'!$C$5:$G$1004,4,FALSE)</f>
        <v>#N/A</v>
      </c>
      <c r="J418" t="e">
        <f>VLOOKUP(B418,'Location Data'!$C$5:$G$1004,5,FALSE)</f>
        <v>#N/A</v>
      </c>
      <c r="K418" t="e">
        <f>VLOOKUP(C418,'Location Data'!$C$5:$G$1004,4,FALSE)</f>
        <v>#N/A</v>
      </c>
      <c r="L418" t="e">
        <f>VLOOKUP(C418,'Location Data'!$C$5:$G$1004,5,FALSE)</f>
        <v>#N/A</v>
      </c>
    </row>
    <row r="419" spans="1:12" x14ac:dyDescent="0.2">
      <c r="A419">
        <f>'Shipment Data for Provisioning'!B424</f>
        <v>0</v>
      </c>
      <c r="B419">
        <f>'Shipment Data for Provisioning'!C424</f>
        <v>0</v>
      </c>
      <c r="C419">
        <f>'Shipment Data for Provisioning'!D424</f>
        <v>0</v>
      </c>
      <c r="D419">
        <f>'Shipment Data for Provisioning'!E424</f>
        <v>0</v>
      </c>
      <c r="E419">
        <f>'Shipment Data for Provisioning'!F424</f>
        <v>0</v>
      </c>
      <c r="F419">
        <f>'Shipment Data for Provisioning'!G424</f>
        <v>0</v>
      </c>
      <c r="G419">
        <f>'Shipment Data for Provisioning'!H424</f>
        <v>0</v>
      </c>
      <c r="H419">
        <f>'Shipment Data for Provisioning'!I424</f>
        <v>0</v>
      </c>
      <c r="I419" t="e">
        <f>VLOOKUP(B419,'Location Data'!$C$5:$G$1004,4,FALSE)</f>
        <v>#N/A</v>
      </c>
      <c r="J419" t="e">
        <f>VLOOKUP(B419,'Location Data'!$C$5:$G$1004,5,FALSE)</f>
        <v>#N/A</v>
      </c>
      <c r="K419" t="e">
        <f>VLOOKUP(C419,'Location Data'!$C$5:$G$1004,4,FALSE)</f>
        <v>#N/A</v>
      </c>
      <c r="L419" t="e">
        <f>VLOOKUP(C419,'Location Data'!$C$5:$G$1004,5,FALSE)</f>
        <v>#N/A</v>
      </c>
    </row>
    <row r="420" spans="1:12" x14ac:dyDescent="0.2">
      <c r="A420">
        <f>'Shipment Data for Provisioning'!B425</f>
        <v>0</v>
      </c>
      <c r="B420">
        <f>'Shipment Data for Provisioning'!C425</f>
        <v>0</v>
      </c>
      <c r="C420">
        <f>'Shipment Data for Provisioning'!D425</f>
        <v>0</v>
      </c>
      <c r="D420">
        <f>'Shipment Data for Provisioning'!E425</f>
        <v>0</v>
      </c>
      <c r="E420">
        <f>'Shipment Data for Provisioning'!F425</f>
        <v>0</v>
      </c>
      <c r="F420">
        <f>'Shipment Data for Provisioning'!G425</f>
        <v>0</v>
      </c>
      <c r="G420">
        <f>'Shipment Data for Provisioning'!H425</f>
        <v>0</v>
      </c>
      <c r="H420">
        <f>'Shipment Data for Provisioning'!I425</f>
        <v>0</v>
      </c>
      <c r="I420" t="e">
        <f>VLOOKUP(B420,'Location Data'!$C$5:$G$1004,4,FALSE)</f>
        <v>#N/A</v>
      </c>
      <c r="J420" t="e">
        <f>VLOOKUP(B420,'Location Data'!$C$5:$G$1004,5,FALSE)</f>
        <v>#N/A</v>
      </c>
      <c r="K420" t="e">
        <f>VLOOKUP(C420,'Location Data'!$C$5:$G$1004,4,FALSE)</f>
        <v>#N/A</v>
      </c>
      <c r="L420" t="e">
        <f>VLOOKUP(C420,'Location Data'!$C$5:$G$1004,5,FALSE)</f>
        <v>#N/A</v>
      </c>
    </row>
    <row r="421" spans="1:12" x14ac:dyDescent="0.2">
      <c r="A421">
        <f>'Shipment Data for Provisioning'!B426</f>
        <v>0</v>
      </c>
      <c r="B421">
        <f>'Shipment Data for Provisioning'!C426</f>
        <v>0</v>
      </c>
      <c r="C421">
        <f>'Shipment Data for Provisioning'!D426</f>
        <v>0</v>
      </c>
      <c r="D421">
        <f>'Shipment Data for Provisioning'!E426</f>
        <v>0</v>
      </c>
      <c r="E421">
        <f>'Shipment Data for Provisioning'!F426</f>
        <v>0</v>
      </c>
      <c r="F421">
        <f>'Shipment Data for Provisioning'!G426</f>
        <v>0</v>
      </c>
      <c r="G421">
        <f>'Shipment Data for Provisioning'!H426</f>
        <v>0</v>
      </c>
      <c r="H421">
        <f>'Shipment Data for Provisioning'!I426</f>
        <v>0</v>
      </c>
      <c r="I421" t="e">
        <f>VLOOKUP(B421,'Location Data'!$C$5:$G$1004,4,FALSE)</f>
        <v>#N/A</v>
      </c>
      <c r="J421" t="e">
        <f>VLOOKUP(B421,'Location Data'!$C$5:$G$1004,5,FALSE)</f>
        <v>#N/A</v>
      </c>
      <c r="K421" t="e">
        <f>VLOOKUP(C421,'Location Data'!$C$5:$G$1004,4,FALSE)</f>
        <v>#N/A</v>
      </c>
      <c r="L421" t="e">
        <f>VLOOKUP(C421,'Location Data'!$C$5:$G$1004,5,FALSE)</f>
        <v>#N/A</v>
      </c>
    </row>
    <row r="422" spans="1:12" x14ac:dyDescent="0.2">
      <c r="A422">
        <f>'Shipment Data for Provisioning'!B427</f>
        <v>0</v>
      </c>
      <c r="B422">
        <f>'Shipment Data for Provisioning'!C427</f>
        <v>0</v>
      </c>
      <c r="C422">
        <f>'Shipment Data for Provisioning'!D427</f>
        <v>0</v>
      </c>
      <c r="D422">
        <f>'Shipment Data for Provisioning'!E427</f>
        <v>0</v>
      </c>
      <c r="E422">
        <f>'Shipment Data for Provisioning'!F427</f>
        <v>0</v>
      </c>
      <c r="F422">
        <f>'Shipment Data for Provisioning'!G427</f>
        <v>0</v>
      </c>
      <c r="G422">
        <f>'Shipment Data for Provisioning'!H427</f>
        <v>0</v>
      </c>
      <c r="H422">
        <f>'Shipment Data for Provisioning'!I427</f>
        <v>0</v>
      </c>
      <c r="I422" t="e">
        <f>VLOOKUP(B422,'Location Data'!$C$5:$G$1004,4,FALSE)</f>
        <v>#N/A</v>
      </c>
      <c r="J422" t="e">
        <f>VLOOKUP(B422,'Location Data'!$C$5:$G$1004,5,FALSE)</f>
        <v>#N/A</v>
      </c>
      <c r="K422" t="e">
        <f>VLOOKUP(C422,'Location Data'!$C$5:$G$1004,4,FALSE)</f>
        <v>#N/A</v>
      </c>
      <c r="L422" t="e">
        <f>VLOOKUP(C422,'Location Data'!$C$5:$G$1004,5,FALSE)</f>
        <v>#N/A</v>
      </c>
    </row>
    <row r="423" spans="1:12" x14ac:dyDescent="0.2">
      <c r="A423">
        <f>'Shipment Data for Provisioning'!B428</f>
        <v>0</v>
      </c>
      <c r="B423">
        <f>'Shipment Data for Provisioning'!C428</f>
        <v>0</v>
      </c>
      <c r="C423">
        <f>'Shipment Data for Provisioning'!D428</f>
        <v>0</v>
      </c>
      <c r="D423">
        <f>'Shipment Data for Provisioning'!E428</f>
        <v>0</v>
      </c>
      <c r="E423">
        <f>'Shipment Data for Provisioning'!F428</f>
        <v>0</v>
      </c>
      <c r="F423">
        <f>'Shipment Data for Provisioning'!G428</f>
        <v>0</v>
      </c>
      <c r="G423">
        <f>'Shipment Data for Provisioning'!H428</f>
        <v>0</v>
      </c>
      <c r="H423">
        <f>'Shipment Data for Provisioning'!I428</f>
        <v>0</v>
      </c>
      <c r="I423" t="e">
        <f>VLOOKUP(B423,'Location Data'!$C$5:$G$1004,4,FALSE)</f>
        <v>#N/A</v>
      </c>
      <c r="J423" t="e">
        <f>VLOOKUP(B423,'Location Data'!$C$5:$G$1004,5,FALSE)</f>
        <v>#N/A</v>
      </c>
      <c r="K423" t="e">
        <f>VLOOKUP(C423,'Location Data'!$C$5:$G$1004,4,FALSE)</f>
        <v>#N/A</v>
      </c>
      <c r="L423" t="e">
        <f>VLOOKUP(C423,'Location Data'!$C$5:$G$1004,5,FALSE)</f>
        <v>#N/A</v>
      </c>
    </row>
    <row r="424" spans="1:12" x14ac:dyDescent="0.2">
      <c r="A424">
        <f>'Shipment Data for Provisioning'!B429</f>
        <v>0</v>
      </c>
      <c r="B424">
        <f>'Shipment Data for Provisioning'!C429</f>
        <v>0</v>
      </c>
      <c r="C424">
        <f>'Shipment Data for Provisioning'!D429</f>
        <v>0</v>
      </c>
      <c r="D424">
        <f>'Shipment Data for Provisioning'!E429</f>
        <v>0</v>
      </c>
      <c r="E424">
        <f>'Shipment Data for Provisioning'!F429</f>
        <v>0</v>
      </c>
      <c r="F424">
        <f>'Shipment Data for Provisioning'!G429</f>
        <v>0</v>
      </c>
      <c r="G424">
        <f>'Shipment Data for Provisioning'!H429</f>
        <v>0</v>
      </c>
      <c r="H424">
        <f>'Shipment Data for Provisioning'!I429</f>
        <v>0</v>
      </c>
      <c r="I424" t="e">
        <f>VLOOKUP(B424,'Location Data'!$C$5:$G$1004,4,FALSE)</f>
        <v>#N/A</v>
      </c>
      <c r="J424" t="e">
        <f>VLOOKUP(B424,'Location Data'!$C$5:$G$1004,5,FALSE)</f>
        <v>#N/A</v>
      </c>
      <c r="K424" t="e">
        <f>VLOOKUP(C424,'Location Data'!$C$5:$G$1004,4,FALSE)</f>
        <v>#N/A</v>
      </c>
      <c r="L424" t="e">
        <f>VLOOKUP(C424,'Location Data'!$C$5:$G$1004,5,FALSE)</f>
        <v>#N/A</v>
      </c>
    </row>
    <row r="425" spans="1:12" x14ac:dyDescent="0.2">
      <c r="A425">
        <f>'Shipment Data for Provisioning'!B430</f>
        <v>0</v>
      </c>
      <c r="B425">
        <f>'Shipment Data for Provisioning'!C430</f>
        <v>0</v>
      </c>
      <c r="C425">
        <f>'Shipment Data for Provisioning'!D430</f>
        <v>0</v>
      </c>
      <c r="D425">
        <f>'Shipment Data for Provisioning'!E430</f>
        <v>0</v>
      </c>
      <c r="E425">
        <f>'Shipment Data for Provisioning'!F430</f>
        <v>0</v>
      </c>
      <c r="F425">
        <f>'Shipment Data for Provisioning'!G430</f>
        <v>0</v>
      </c>
      <c r="G425">
        <f>'Shipment Data for Provisioning'!H430</f>
        <v>0</v>
      </c>
      <c r="H425">
        <f>'Shipment Data for Provisioning'!I430</f>
        <v>0</v>
      </c>
      <c r="I425" t="e">
        <f>VLOOKUP(B425,'Location Data'!$C$5:$G$1004,4,FALSE)</f>
        <v>#N/A</v>
      </c>
      <c r="J425" t="e">
        <f>VLOOKUP(B425,'Location Data'!$C$5:$G$1004,5,FALSE)</f>
        <v>#N/A</v>
      </c>
      <c r="K425" t="e">
        <f>VLOOKUP(C425,'Location Data'!$C$5:$G$1004,4,FALSE)</f>
        <v>#N/A</v>
      </c>
      <c r="L425" t="e">
        <f>VLOOKUP(C425,'Location Data'!$C$5:$G$1004,5,FALSE)</f>
        <v>#N/A</v>
      </c>
    </row>
    <row r="426" spans="1:12" x14ac:dyDescent="0.2">
      <c r="A426">
        <f>'Shipment Data for Provisioning'!B431</f>
        <v>0</v>
      </c>
      <c r="B426">
        <f>'Shipment Data for Provisioning'!C431</f>
        <v>0</v>
      </c>
      <c r="C426">
        <f>'Shipment Data for Provisioning'!D431</f>
        <v>0</v>
      </c>
      <c r="D426">
        <f>'Shipment Data for Provisioning'!E431</f>
        <v>0</v>
      </c>
      <c r="E426">
        <f>'Shipment Data for Provisioning'!F431</f>
        <v>0</v>
      </c>
      <c r="F426">
        <f>'Shipment Data for Provisioning'!G431</f>
        <v>0</v>
      </c>
      <c r="G426">
        <f>'Shipment Data for Provisioning'!H431</f>
        <v>0</v>
      </c>
      <c r="H426">
        <f>'Shipment Data for Provisioning'!I431</f>
        <v>0</v>
      </c>
      <c r="I426" t="e">
        <f>VLOOKUP(B426,'Location Data'!$C$5:$G$1004,4,FALSE)</f>
        <v>#N/A</v>
      </c>
      <c r="J426" t="e">
        <f>VLOOKUP(B426,'Location Data'!$C$5:$G$1004,5,FALSE)</f>
        <v>#N/A</v>
      </c>
      <c r="K426" t="e">
        <f>VLOOKUP(C426,'Location Data'!$C$5:$G$1004,4,FALSE)</f>
        <v>#N/A</v>
      </c>
      <c r="L426" t="e">
        <f>VLOOKUP(C426,'Location Data'!$C$5:$G$1004,5,FALSE)</f>
        <v>#N/A</v>
      </c>
    </row>
    <row r="427" spans="1:12" x14ac:dyDescent="0.2">
      <c r="A427">
        <f>'Shipment Data for Provisioning'!B432</f>
        <v>0</v>
      </c>
      <c r="B427">
        <f>'Shipment Data for Provisioning'!C432</f>
        <v>0</v>
      </c>
      <c r="C427">
        <f>'Shipment Data for Provisioning'!D432</f>
        <v>0</v>
      </c>
      <c r="D427">
        <f>'Shipment Data for Provisioning'!E432</f>
        <v>0</v>
      </c>
      <c r="E427">
        <f>'Shipment Data for Provisioning'!F432</f>
        <v>0</v>
      </c>
      <c r="F427">
        <f>'Shipment Data for Provisioning'!G432</f>
        <v>0</v>
      </c>
      <c r="G427">
        <f>'Shipment Data for Provisioning'!H432</f>
        <v>0</v>
      </c>
      <c r="H427">
        <f>'Shipment Data for Provisioning'!I432</f>
        <v>0</v>
      </c>
      <c r="I427" t="e">
        <f>VLOOKUP(B427,'Location Data'!$C$5:$G$1004,4,FALSE)</f>
        <v>#N/A</v>
      </c>
      <c r="J427" t="e">
        <f>VLOOKUP(B427,'Location Data'!$C$5:$G$1004,5,FALSE)</f>
        <v>#N/A</v>
      </c>
      <c r="K427" t="e">
        <f>VLOOKUP(C427,'Location Data'!$C$5:$G$1004,4,FALSE)</f>
        <v>#N/A</v>
      </c>
      <c r="L427" t="e">
        <f>VLOOKUP(C427,'Location Data'!$C$5:$G$1004,5,FALSE)</f>
        <v>#N/A</v>
      </c>
    </row>
    <row r="428" spans="1:12" x14ac:dyDescent="0.2">
      <c r="A428">
        <f>'Shipment Data for Provisioning'!B433</f>
        <v>0</v>
      </c>
      <c r="B428">
        <f>'Shipment Data for Provisioning'!C433</f>
        <v>0</v>
      </c>
      <c r="C428">
        <f>'Shipment Data for Provisioning'!D433</f>
        <v>0</v>
      </c>
      <c r="D428">
        <f>'Shipment Data for Provisioning'!E433</f>
        <v>0</v>
      </c>
      <c r="E428">
        <f>'Shipment Data for Provisioning'!F433</f>
        <v>0</v>
      </c>
      <c r="F428">
        <f>'Shipment Data for Provisioning'!G433</f>
        <v>0</v>
      </c>
      <c r="G428">
        <f>'Shipment Data for Provisioning'!H433</f>
        <v>0</v>
      </c>
      <c r="H428">
        <f>'Shipment Data for Provisioning'!I433</f>
        <v>0</v>
      </c>
      <c r="I428" t="e">
        <f>VLOOKUP(B428,'Location Data'!$C$5:$G$1004,4,FALSE)</f>
        <v>#N/A</v>
      </c>
      <c r="J428" t="e">
        <f>VLOOKUP(B428,'Location Data'!$C$5:$G$1004,5,FALSE)</f>
        <v>#N/A</v>
      </c>
      <c r="K428" t="e">
        <f>VLOOKUP(C428,'Location Data'!$C$5:$G$1004,4,FALSE)</f>
        <v>#N/A</v>
      </c>
      <c r="L428" t="e">
        <f>VLOOKUP(C428,'Location Data'!$C$5:$G$1004,5,FALSE)</f>
        <v>#N/A</v>
      </c>
    </row>
    <row r="429" spans="1:12" x14ac:dyDescent="0.2">
      <c r="A429">
        <f>'Shipment Data for Provisioning'!B434</f>
        <v>0</v>
      </c>
      <c r="B429">
        <f>'Shipment Data for Provisioning'!C434</f>
        <v>0</v>
      </c>
      <c r="C429">
        <f>'Shipment Data for Provisioning'!D434</f>
        <v>0</v>
      </c>
      <c r="D429">
        <f>'Shipment Data for Provisioning'!E434</f>
        <v>0</v>
      </c>
      <c r="E429">
        <f>'Shipment Data for Provisioning'!F434</f>
        <v>0</v>
      </c>
      <c r="F429">
        <f>'Shipment Data for Provisioning'!G434</f>
        <v>0</v>
      </c>
      <c r="G429">
        <f>'Shipment Data for Provisioning'!H434</f>
        <v>0</v>
      </c>
      <c r="H429">
        <f>'Shipment Data for Provisioning'!I434</f>
        <v>0</v>
      </c>
      <c r="I429" t="e">
        <f>VLOOKUP(B429,'Location Data'!$C$5:$G$1004,4,FALSE)</f>
        <v>#N/A</v>
      </c>
      <c r="J429" t="e">
        <f>VLOOKUP(B429,'Location Data'!$C$5:$G$1004,5,FALSE)</f>
        <v>#N/A</v>
      </c>
      <c r="K429" t="e">
        <f>VLOOKUP(C429,'Location Data'!$C$5:$G$1004,4,FALSE)</f>
        <v>#N/A</v>
      </c>
      <c r="L429" t="e">
        <f>VLOOKUP(C429,'Location Data'!$C$5:$G$1004,5,FALSE)</f>
        <v>#N/A</v>
      </c>
    </row>
    <row r="430" spans="1:12" x14ac:dyDescent="0.2">
      <c r="A430">
        <f>'Shipment Data for Provisioning'!B435</f>
        <v>0</v>
      </c>
      <c r="B430">
        <f>'Shipment Data for Provisioning'!C435</f>
        <v>0</v>
      </c>
      <c r="C430">
        <f>'Shipment Data for Provisioning'!D435</f>
        <v>0</v>
      </c>
      <c r="D430">
        <f>'Shipment Data for Provisioning'!E435</f>
        <v>0</v>
      </c>
      <c r="E430">
        <f>'Shipment Data for Provisioning'!F435</f>
        <v>0</v>
      </c>
      <c r="F430">
        <f>'Shipment Data for Provisioning'!G435</f>
        <v>0</v>
      </c>
      <c r="G430">
        <f>'Shipment Data for Provisioning'!H435</f>
        <v>0</v>
      </c>
      <c r="H430">
        <f>'Shipment Data for Provisioning'!I435</f>
        <v>0</v>
      </c>
      <c r="I430" t="e">
        <f>VLOOKUP(B430,'Location Data'!$C$5:$G$1004,4,FALSE)</f>
        <v>#N/A</v>
      </c>
      <c r="J430" t="e">
        <f>VLOOKUP(B430,'Location Data'!$C$5:$G$1004,5,FALSE)</f>
        <v>#N/A</v>
      </c>
      <c r="K430" t="e">
        <f>VLOOKUP(C430,'Location Data'!$C$5:$G$1004,4,FALSE)</f>
        <v>#N/A</v>
      </c>
      <c r="L430" t="e">
        <f>VLOOKUP(C430,'Location Data'!$C$5:$G$1004,5,FALSE)</f>
        <v>#N/A</v>
      </c>
    </row>
    <row r="431" spans="1:12" x14ac:dyDescent="0.2">
      <c r="A431">
        <f>'Shipment Data for Provisioning'!B436</f>
        <v>0</v>
      </c>
      <c r="B431">
        <f>'Shipment Data for Provisioning'!C436</f>
        <v>0</v>
      </c>
      <c r="C431">
        <f>'Shipment Data for Provisioning'!D436</f>
        <v>0</v>
      </c>
      <c r="D431">
        <f>'Shipment Data for Provisioning'!E436</f>
        <v>0</v>
      </c>
      <c r="E431">
        <f>'Shipment Data for Provisioning'!F436</f>
        <v>0</v>
      </c>
      <c r="F431">
        <f>'Shipment Data for Provisioning'!G436</f>
        <v>0</v>
      </c>
      <c r="G431">
        <f>'Shipment Data for Provisioning'!H436</f>
        <v>0</v>
      </c>
      <c r="H431">
        <f>'Shipment Data for Provisioning'!I436</f>
        <v>0</v>
      </c>
      <c r="I431" t="e">
        <f>VLOOKUP(B431,'Location Data'!$C$5:$G$1004,4,FALSE)</f>
        <v>#N/A</v>
      </c>
      <c r="J431" t="e">
        <f>VLOOKUP(B431,'Location Data'!$C$5:$G$1004,5,FALSE)</f>
        <v>#N/A</v>
      </c>
      <c r="K431" t="e">
        <f>VLOOKUP(C431,'Location Data'!$C$5:$G$1004,4,FALSE)</f>
        <v>#N/A</v>
      </c>
      <c r="L431" t="e">
        <f>VLOOKUP(C431,'Location Data'!$C$5:$G$1004,5,FALSE)</f>
        <v>#N/A</v>
      </c>
    </row>
    <row r="432" spans="1:12" x14ac:dyDescent="0.2">
      <c r="A432">
        <f>'Shipment Data for Provisioning'!B437</f>
        <v>0</v>
      </c>
      <c r="B432">
        <f>'Shipment Data for Provisioning'!C437</f>
        <v>0</v>
      </c>
      <c r="C432">
        <f>'Shipment Data for Provisioning'!D437</f>
        <v>0</v>
      </c>
      <c r="D432">
        <f>'Shipment Data for Provisioning'!E437</f>
        <v>0</v>
      </c>
      <c r="E432">
        <f>'Shipment Data for Provisioning'!F437</f>
        <v>0</v>
      </c>
      <c r="F432">
        <f>'Shipment Data for Provisioning'!G437</f>
        <v>0</v>
      </c>
      <c r="G432">
        <f>'Shipment Data for Provisioning'!H437</f>
        <v>0</v>
      </c>
      <c r="H432">
        <f>'Shipment Data for Provisioning'!I437</f>
        <v>0</v>
      </c>
      <c r="I432" t="e">
        <f>VLOOKUP(B432,'Location Data'!$C$5:$G$1004,4,FALSE)</f>
        <v>#N/A</v>
      </c>
      <c r="J432" t="e">
        <f>VLOOKUP(B432,'Location Data'!$C$5:$G$1004,5,FALSE)</f>
        <v>#N/A</v>
      </c>
      <c r="K432" t="e">
        <f>VLOOKUP(C432,'Location Data'!$C$5:$G$1004,4,FALSE)</f>
        <v>#N/A</v>
      </c>
      <c r="L432" t="e">
        <f>VLOOKUP(C432,'Location Data'!$C$5:$G$1004,5,FALSE)</f>
        <v>#N/A</v>
      </c>
    </row>
    <row r="433" spans="1:12" x14ac:dyDescent="0.2">
      <c r="A433">
        <f>'Shipment Data for Provisioning'!B438</f>
        <v>0</v>
      </c>
      <c r="B433">
        <f>'Shipment Data for Provisioning'!C438</f>
        <v>0</v>
      </c>
      <c r="C433">
        <f>'Shipment Data for Provisioning'!D438</f>
        <v>0</v>
      </c>
      <c r="D433">
        <f>'Shipment Data for Provisioning'!E438</f>
        <v>0</v>
      </c>
      <c r="E433">
        <f>'Shipment Data for Provisioning'!F438</f>
        <v>0</v>
      </c>
      <c r="F433">
        <f>'Shipment Data for Provisioning'!G438</f>
        <v>0</v>
      </c>
      <c r="G433">
        <f>'Shipment Data for Provisioning'!H438</f>
        <v>0</v>
      </c>
      <c r="H433">
        <f>'Shipment Data for Provisioning'!I438</f>
        <v>0</v>
      </c>
      <c r="I433" t="e">
        <f>VLOOKUP(B433,'Location Data'!$C$5:$G$1004,4,FALSE)</f>
        <v>#N/A</v>
      </c>
      <c r="J433" t="e">
        <f>VLOOKUP(B433,'Location Data'!$C$5:$G$1004,5,FALSE)</f>
        <v>#N/A</v>
      </c>
      <c r="K433" t="e">
        <f>VLOOKUP(C433,'Location Data'!$C$5:$G$1004,4,FALSE)</f>
        <v>#N/A</v>
      </c>
      <c r="L433" t="e">
        <f>VLOOKUP(C433,'Location Data'!$C$5:$G$1004,5,FALSE)</f>
        <v>#N/A</v>
      </c>
    </row>
    <row r="434" spans="1:12" x14ac:dyDescent="0.2">
      <c r="A434">
        <f>'Shipment Data for Provisioning'!B439</f>
        <v>0</v>
      </c>
      <c r="B434">
        <f>'Shipment Data for Provisioning'!C439</f>
        <v>0</v>
      </c>
      <c r="C434">
        <f>'Shipment Data for Provisioning'!D439</f>
        <v>0</v>
      </c>
      <c r="D434">
        <f>'Shipment Data for Provisioning'!E439</f>
        <v>0</v>
      </c>
      <c r="E434">
        <f>'Shipment Data for Provisioning'!F439</f>
        <v>0</v>
      </c>
      <c r="F434">
        <f>'Shipment Data for Provisioning'!G439</f>
        <v>0</v>
      </c>
      <c r="G434">
        <f>'Shipment Data for Provisioning'!H439</f>
        <v>0</v>
      </c>
      <c r="H434">
        <f>'Shipment Data for Provisioning'!I439</f>
        <v>0</v>
      </c>
      <c r="I434" t="e">
        <f>VLOOKUP(B434,'Location Data'!$C$5:$G$1004,4,FALSE)</f>
        <v>#N/A</v>
      </c>
      <c r="J434" t="e">
        <f>VLOOKUP(B434,'Location Data'!$C$5:$G$1004,5,FALSE)</f>
        <v>#N/A</v>
      </c>
      <c r="K434" t="e">
        <f>VLOOKUP(C434,'Location Data'!$C$5:$G$1004,4,FALSE)</f>
        <v>#N/A</v>
      </c>
      <c r="L434" t="e">
        <f>VLOOKUP(C434,'Location Data'!$C$5:$G$1004,5,FALSE)</f>
        <v>#N/A</v>
      </c>
    </row>
    <row r="435" spans="1:12" x14ac:dyDescent="0.2">
      <c r="A435">
        <f>'Shipment Data for Provisioning'!B440</f>
        <v>0</v>
      </c>
      <c r="B435">
        <f>'Shipment Data for Provisioning'!C440</f>
        <v>0</v>
      </c>
      <c r="C435">
        <f>'Shipment Data for Provisioning'!D440</f>
        <v>0</v>
      </c>
      <c r="D435">
        <f>'Shipment Data for Provisioning'!E440</f>
        <v>0</v>
      </c>
      <c r="E435">
        <f>'Shipment Data for Provisioning'!F440</f>
        <v>0</v>
      </c>
      <c r="F435">
        <f>'Shipment Data for Provisioning'!G440</f>
        <v>0</v>
      </c>
      <c r="G435">
        <f>'Shipment Data for Provisioning'!H440</f>
        <v>0</v>
      </c>
      <c r="H435">
        <f>'Shipment Data for Provisioning'!I440</f>
        <v>0</v>
      </c>
      <c r="I435" t="e">
        <f>VLOOKUP(B435,'Location Data'!$C$5:$G$1004,4,FALSE)</f>
        <v>#N/A</v>
      </c>
      <c r="J435" t="e">
        <f>VLOOKUP(B435,'Location Data'!$C$5:$G$1004,5,FALSE)</f>
        <v>#N/A</v>
      </c>
      <c r="K435" t="e">
        <f>VLOOKUP(C435,'Location Data'!$C$5:$G$1004,4,FALSE)</f>
        <v>#N/A</v>
      </c>
      <c r="L435" t="e">
        <f>VLOOKUP(C435,'Location Data'!$C$5:$G$1004,5,FALSE)</f>
        <v>#N/A</v>
      </c>
    </row>
    <row r="436" spans="1:12" x14ac:dyDescent="0.2">
      <c r="A436">
        <f>'Shipment Data for Provisioning'!B441</f>
        <v>0</v>
      </c>
      <c r="B436">
        <f>'Shipment Data for Provisioning'!C441</f>
        <v>0</v>
      </c>
      <c r="C436">
        <f>'Shipment Data for Provisioning'!D441</f>
        <v>0</v>
      </c>
      <c r="D436">
        <f>'Shipment Data for Provisioning'!E441</f>
        <v>0</v>
      </c>
      <c r="E436">
        <f>'Shipment Data for Provisioning'!F441</f>
        <v>0</v>
      </c>
      <c r="F436">
        <f>'Shipment Data for Provisioning'!G441</f>
        <v>0</v>
      </c>
      <c r="G436">
        <f>'Shipment Data for Provisioning'!H441</f>
        <v>0</v>
      </c>
      <c r="H436">
        <f>'Shipment Data for Provisioning'!I441</f>
        <v>0</v>
      </c>
      <c r="I436" t="e">
        <f>VLOOKUP(B436,'Location Data'!$C$5:$G$1004,4,FALSE)</f>
        <v>#N/A</v>
      </c>
      <c r="J436" t="e">
        <f>VLOOKUP(B436,'Location Data'!$C$5:$G$1004,5,FALSE)</f>
        <v>#N/A</v>
      </c>
      <c r="K436" t="e">
        <f>VLOOKUP(C436,'Location Data'!$C$5:$G$1004,4,FALSE)</f>
        <v>#N/A</v>
      </c>
      <c r="L436" t="e">
        <f>VLOOKUP(C436,'Location Data'!$C$5:$G$1004,5,FALSE)</f>
        <v>#N/A</v>
      </c>
    </row>
    <row r="437" spans="1:12" x14ac:dyDescent="0.2">
      <c r="A437">
        <f>'Shipment Data for Provisioning'!B442</f>
        <v>0</v>
      </c>
      <c r="B437">
        <f>'Shipment Data for Provisioning'!C442</f>
        <v>0</v>
      </c>
      <c r="C437">
        <f>'Shipment Data for Provisioning'!D442</f>
        <v>0</v>
      </c>
      <c r="D437">
        <f>'Shipment Data for Provisioning'!E442</f>
        <v>0</v>
      </c>
      <c r="E437">
        <f>'Shipment Data for Provisioning'!F442</f>
        <v>0</v>
      </c>
      <c r="F437">
        <f>'Shipment Data for Provisioning'!G442</f>
        <v>0</v>
      </c>
      <c r="G437">
        <f>'Shipment Data for Provisioning'!H442</f>
        <v>0</v>
      </c>
      <c r="H437">
        <f>'Shipment Data for Provisioning'!I442</f>
        <v>0</v>
      </c>
      <c r="I437" t="e">
        <f>VLOOKUP(B437,'Location Data'!$C$5:$G$1004,4,FALSE)</f>
        <v>#N/A</v>
      </c>
      <c r="J437" t="e">
        <f>VLOOKUP(B437,'Location Data'!$C$5:$G$1004,5,FALSE)</f>
        <v>#N/A</v>
      </c>
      <c r="K437" t="e">
        <f>VLOOKUP(C437,'Location Data'!$C$5:$G$1004,4,FALSE)</f>
        <v>#N/A</v>
      </c>
      <c r="L437" t="e">
        <f>VLOOKUP(C437,'Location Data'!$C$5:$G$1004,5,FALSE)</f>
        <v>#N/A</v>
      </c>
    </row>
    <row r="438" spans="1:12" x14ac:dyDescent="0.2">
      <c r="A438">
        <f>'Shipment Data for Provisioning'!B443</f>
        <v>0</v>
      </c>
      <c r="B438">
        <f>'Shipment Data for Provisioning'!C443</f>
        <v>0</v>
      </c>
      <c r="C438">
        <f>'Shipment Data for Provisioning'!D443</f>
        <v>0</v>
      </c>
      <c r="D438">
        <f>'Shipment Data for Provisioning'!E443</f>
        <v>0</v>
      </c>
      <c r="E438">
        <f>'Shipment Data for Provisioning'!F443</f>
        <v>0</v>
      </c>
      <c r="F438">
        <f>'Shipment Data for Provisioning'!G443</f>
        <v>0</v>
      </c>
      <c r="G438">
        <f>'Shipment Data for Provisioning'!H443</f>
        <v>0</v>
      </c>
      <c r="H438">
        <f>'Shipment Data for Provisioning'!I443</f>
        <v>0</v>
      </c>
      <c r="I438" t="e">
        <f>VLOOKUP(B438,'Location Data'!$C$5:$G$1004,4,FALSE)</f>
        <v>#N/A</v>
      </c>
      <c r="J438" t="e">
        <f>VLOOKUP(B438,'Location Data'!$C$5:$G$1004,5,FALSE)</f>
        <v>#N/A</v>
      </c>
      <c r="K438" t="e">
        <f>VLOOKUP(C438,'Location Data'!$C$5:$G$1004,4,FALSE)</f>
        <v>#N/A</v>
      </c>
      <c r="L438" t="e">
        <f>VLOOKUP(C438,'Location Data'!$C$5:$G$1004,5,FALSE)</f>
        <v>#N/A</v>
      </c>
    </row>
    <row r="439" spans="1:12" x14ac:dyDescent="0.2">
      <c r="A439">
        <f>'Shipment Data for Provisioning'!B444</f>
        <v>0</v>
      </c>
      <c r="B439">
        <f>'Shipment Data for Provisioning'!C444</f>
        <v>0</v>
      </c>
      <c r="C439">
        <f>'Shipment Data for Provisioning'!D444</f>
        <v>0</v>
      </c>
      <c r="D439">
        <f>'Shipment Data for Provisioning'!E444</f>
        <v>0</v>
      </c>
      <c r="E439">
        <f>'Shipment Data for Provisioning'!F444</f>
        <v>0</v>
      </c>
      <c r="F439">
        <f>'Shipment Data for Provisioning'!G444</f>
        <v>0</v>
      </c>
      <c r="G439">
        <f>'Shipment Data for Provisioning'!H444</f>
        <v>0</v>
      </c>
      <c r="H439">
        <f>'Shipment Data for Provisioning'!I444</f>
        <v>0</v>
      </c>
      <c r="I439" t="e">
        <f>VLOOKUP(B439,'Location Data'!$C$5:$G$1004,4,FALSE)</f>
        <v>#N/A</v>
      </c>
      <c r="J439" t="e">
        <f>VLOOKUP(B439,'Location Data'!$C$5:$G$1004,5,FALSE)</f>
        <v>#N/A</v>
      </c>
      <c r="K439" t="e">
        <f>VLOOKUP(C439,'Location Data'!$C$5:$G$1004,4,FALSE)</f>
        <v>#N/A</v>
      </c>
      <c r="L439" t="e">
        <f>VLOOKUP(C439,'Location Data'!$C$5:$G$1004,5,FALSE)</f>
        <v>#N/A</v>
      </c>
    </row>
    <row r="440" spans="1:12" x14ac:dyDescent="0.2">
      <c r="A440">
        <f>'Shipment Data for Provisioning'!B445</f>
        <v>0</v>
      </c>
      <c r="B440">
        <f>'Shipment Data for Provisioning'!C445</f>
        <v>0</v>
      </c>
      <c r="C440">
        <f>'Shipment Data for Provisioning'!D445</f>
        <v>0</v>
      </c>
      <c r="D440">
        <f>'Shipment Data for Provisioning'!E445</f>
        <v>0</v>
      </c>
      <c r="E440">
        <f>'Shipment Data for Provisioning'!F445</f>
        <v>0</v>
      </c>
      <c r="F440">
        <f>'Shipment Data for Provisioning'!G445</f>
        <v>0</v>
      </c>
      <c r="G440">
        <f>'Shipment Data for Provisioning'!H445</f>
        <v>0</v>
      </c>
      <c r="H440">
        <f>'Shipment Data for Provisioning'!I445</f>
        <v>0</v>
      </c>
      <c r="I440" t="e">
        <f>VLOOKUP(B440,'Location Data'!$C$5:$G$1004,4,FALSE)</f>
        <v>#N/A</v>
      </c>
      <c r="J440" t="e">
        <f>VLOOKUP(B440,'Location Data'!$C$5:$G$1004,5,FALSE)</f>
        <v>#N/A</v>
      </c>
      <c r="K440" t="e">
        <f>VLOOKUP(C440,'Location Data'!$C$5:$G$1004,4,FALSE)</f>
        <v>#N/A</v>
      </c>
      <c r="L440" t="e">
        <f>VLOOKUP(C440,'Location Data'!$C$5:$G$1004,5,FALSE)</f>
        <v>#N/A</v>
      </c>
    </row>
    <row r="441" spans="1:12" x14ac:dyDescent="0.2">
      <c r="A441">
        <f>'Shipment Data for Provisioning'!B446</f>
        <v>0</v>
      </c>
      <c r="B441">
        <f>'Shipment Data for Provisioning'!C446</f>
        <v>0</v>
      </c>
      <c r="C441">
        <f>'Shipment Data for Provisioning'!D446</f>
        <v>0</v>
      </c>
      <c r="D441">
        <f>'Shipment Data for Provisioning'!E446</f>
        <v>0</v>
      </c>
      <c r="E441">
        <f>'Shipment Data for Provisioning'!F446</f>
        <v>0</v>
      </c>
      <c r="F441">
        <f>'Shipment Data for Provisioning'!G446</f>
        <v>0</v>
      </c>
      <c r="G441">
        <f>'Shipment Data for Provisioning'!H446</f>
        <v>0</v>
      </c>
      <c r="H441">
        <f>'Shipment Data for Provisioning'!I446</f>
        <v>0</v>
      </c>
      <c r="I441" t="e">
        <f>VLOOKUP(B441,'Location Data'!$C$5:$G$1004,4,FALSE)</f>
        <v>#N/A</v>
      </c>
      <c r="J441" t="e">
        <f>VLOOKUP(B441,'Location Data'!$C$5:$G$1004,5,FALSE)</f>
        <v>#N/A</v>
      </c>
      <c r="K441" t="e">
        <f>VLOOKUP(C441,'Location Data'!$C$5:$G$1004,4,FALSE)</f>
        <v>#N/A</v>
      </c>
      <c r="L441" t="e">
        <f>VLOOKUP(C441,'Location Data'!$C$5:$G$1004,5,FALSE)</f>
        <v>#N/A</v>
      </c>
    </row>
    <row r="442" spans="1:12" x14ac:dyDescent="0.2">
      <c r="A442">
        <f>'Shipment Data for Provisioning'!B447</f>
        <v>0</v>
      </c>
      <c r="B442">
        <f>'Shipment Data for Provisioning'!C447</f>
        <v>0</v>
      </c>
      <c r="C442">
        <f>'Shipment Data for Provisioning'!D447</f>
        <v>0</v>
      </c>
      <c r="D442">
        <f>'Shipment Data for Provisioning'!E447</f>
        <v>0</v>
      </c>
      <c r="E442">
        <f>'Shipment Data for Provisioning'!F447</f>
        <v>0</v>
      </c>
      <c r="F442">
        <f>'Shipment Data for Provisioning'!G447</f>
        <v>0</v>
      </c>
      <c r="G442">
        <f>'Shipment Data for Provisioning'!H447</f>
        <v>0</v>
      </c>
      <c r="H442">
        <f>'Shipment Data for Provisioning'!I447</f>
        <v>0</v>
      </c>
      <c r="I442" t="e">
        <f>VLOOKUP(B442,'Location Data'!$C$5:$G$1004,4,FALSE)</f>
        <v>#N/A</v>
      </c>
      <c r="J442" t="e">
        <f>VLOOKUP(B442,'Location Data'!$C$5:$G$1004,5,FALSE)</f>
        <v>#N/A</v>
      </c>
      <c r="K442" t="e">
        <f>VLOOKUP(C442,'Location Data'!$C$5:$G$1004,4,FALSE)</f>
        <v>#N/A</v>
      </c>
      <c r="L442" t="e">
        <f>VLOOKUP(C442,'Location Data'!$C$5:$G$1004,5,FALSE)</f>
        <v>#N/A</v>
      </c>
    </row>
    <row r="443" spans="1:12" x14ac:dyDescent="0.2">
      <c r="A443">
        <f>'Shipment Data for Provisioning'!B448</f>
        <v>0</v>
      </c>
      <c r="B443">
        <f>'Shipment Data for Provisioning'!C448</f>
        <v>0</v>
      </c>
      <c r="C443">
        <f>'Shipment Data for Provisioning'!D448</f>
        <v>0</v>
      </c>
      <c r="D443">
        <f>'Shipment Data for Provisioning'!E448</f>
        <v>0</v>
      </c>
      <c r="E443">
        <f>'Shipment Data for Provisioning'!F448</f>
        <v>0</v>
      </c>
      <c r="F443">
        <f>'Shipment Data for Provisioning'!G448</f>
        <v>0</v>
      </c>
      <c r="G443">
        <f>'Shipment Data for Provisioning'!H448</f>
        <v>0</v>
      </c>
      <c r="H443">
        <f>'Shipment Data for Provisioning'!I448</f>
        <v>0</v>
      </c>
      <c r="I443" t="e">
        <f>VLOOKUP(B443,'Location Data'!$C$5:$G$1004,4,FALSE)</f>
        <v>#N/A</v>
      </c>
      <c r="J443" t="e">
        <f>VLOOKUP(B443,'Location Data'!$C$5:$G$1004,5,FALSE)</f>
        <v>#N/A</v>
      </c>
      <c r="K443" t="e">
        <f>VLOOKUP(C443,'Location Data'!$C$5:$G$1004,4,FALSE)</f>
        <v>#N/A</v>
      </c>
      <c r="L443" t="e">
        <f>VLOOKUP(C443,'Location Data'!$C$5:$G$1004,5,FALSE)</f>
        <v>#N/A</v>
      </c>
    </row>
    <row r="444" spans="1:12" x14ac:dyDescent="0.2">
      <c r="A444">
        <f>'Shipment Data for Provisioning'!B449</f>
        <v>0</v>
      </c>
      <c r="B444">
        <f>'Shipment Data for Provisioning'!C449</f>
        <v>0</v>
      </c>
      <c r="C444">
        <f>'Shipment Data for Provisioning'!D449</f>
        <v>0</v>
      </c>
      <c r="D444">
        <f>'Shipment Data for Provisioning'!E449</f>
        <v>0</v>
      </c>
      <c r="E444">
        <f>'Shipment Data for Provisioning'!F449</f>
        <v>0</v>
      </c>
      <c r="F444">
        <f>'Shipment Data for Provisioning'!G449</f>
        <v>0</v>
      </c>
      <c r="G444">
        <f>'Shipment Data for Provisioning'!H449</f>
        <v>0</v>
      </c>
      <c r="H444">
        <f>'Shipment Data for Provisioning'!I449</f>
        <v>0</v>
      </c>
      <c r="I444" t="e">
        <f>VLOOKUP(B444,'Location Data'!$C$5:$G$1004,4,FALSE)</f>
        <v>#N/A</v>
      </c>
      <c r="J444" t="e">
        <f>VLOOKUP(B444,'Location Data'!$C$5:$G$1004,5,FALSE)</f>
        <v>#N/A</v>
      </c>
      <c r="K444" t="e">
        <f>VLOOKUP(C444,'Location Data'!$C$5:$G$1004,4,FALSE)</f>
        <v>#N/A</v>
      </c>
      <c r="L444" t="e">
        <f>VLOOKUP(C444,'Location Data'!$C$5:$G$1004,5,FALSE)</f>
        <v>#N/A</v>
      </c>
    </row>
    <row r="445" spans="1:12" x14ac:dyDescent="0.2">
      <c r="A445">
        <f>'Shipment Data for Provisioning'!B450</f>
        <v>0</v>
      </c>
      <c r="B445">
        <f>'Shipment Data for Provisioning'!C450</f>
        <v>0</v>
      </c>
      <c r="C445">
        <f>'Shipment Data for Provisioning'!D450</f>
        <v>0</v>
      </c>
      <c r="D445">
        <f>'Shipment Data for Provisioning'!E450</f>
        <v>0</v>
      </c>
      <c r="E445">
        <f>'Shipment Data for Provisioning'!F450</f>
        <v>0</v>
      </c>
      <c r="F445">
        <f>'Shipment Data for Provisioning'!G450</f>
        <v>0</v>
      </c>
      <c r="G445">
        <f>'Shipment Data for Provisioning'!H450</f>
        <v>0</v>
      </c>
      <c r="H445">
        <f>'Shipment Data for Provisioning'!I450</f>
        <v>0</v>
      </c>
      <c r="I445" t="e">
        <f>VLOOKUP(B445,'Location Data'!$C$5:$G$1004,4,FALSE)</f>
        <v>#N/A</v>
      </c>
      <c r="J445" t="e">
        <f>VLOOKUP(B445,'Location Data'!$C$5:$G$1004,5,FALSE)</f>
        <v>#N/A</v>
      </c>
      <c r="K445" t="e">
        <f>VLOOKUP(C445,'Location Data'!$C$5:$G$1004,4,FALSE)</f>
        <v>#N/A</v>
      </c>
      <c r="L445" t="e">
        <f>VLOOKUP(C445,'Location Data'!$C$5:$G$1004,5,FALSE)</f>
        <v>#N/A</v>
      </c>
    </row>
    <row r="446" spans="1:12" x14ac:dyDescent="0.2">
      <c r="A446">
        <f>'Shipment Data for Provisioning'!B451</f>
        <v>0</v>
      </c>
      <c r="B446">
        <f>'Shipment Data for Provisioning'!C451</f>
        <v>0</v>
      </c>
      <c r="C446">
        <f>'Shipment Data for Provisioning'!D451</f>
        <v>0</v>
      </c>
      <c r="D446">
        <f>'Shipment Data for Provisioning'!E451</f>
        <v>0</v>
      </c>
      <c r="E446">
        <f>'Shipment Data for Provisioning'!F451</f>
        <v>0</v>
      </c>
      <c r="F446">
        <f>'Shipment Data for Provisioning'!G451</f>
        <v>0</v>
      </c>
      <c r="G446">
        <f>'Shipment Data for Provisioning'!H451</f>
        <v>0</v>
      </c>
      <c r="H446">
        <f>'Shipment Data for Provisioning'!I451</f>
        <v>0</v>
      </c>
      <c r="I446" t="e">
        <f>VLOOKUP(B446,'Location Data'!$C$5:$G$1004,4,FALSE)</f>
        <v>#N/A</v>
      </c>
      <c r="J446" t="e">
        <f>VLOOKUP(B446,'Location Data'!$C$5:$G$1004,5,FALSE)</f>
        <v>#N/A</v>
      </c>
      <c r="K446" t="e">
        <f>VLOOKUP(C446,'Location Data'!$C$5:$G$1004,4,FALSE)</f>
        <v>#N/A</v>
      </c>
      <c r="L446" t="e">
        <f>VLOOKUP(C446,'Location Data'!$C$5:$G$1004,5,FALSE)</f>
        <v>#N/A</v>
      </c>
    </row>
    <row r="447" spans="1:12" x14ac:dyDescent="0.2">
      <c r="A447">
        <f>'Shipment Data for Provisioning'!B452</f>
        <v>0</v>
      </c>
      <c r="B447">
        <f>'Shipment Data for Provisioning'!C452</f>
        <v>0</v>
      </c>
      <c r="C447">
        <f>'Shipment Data for Provisioning'!D452</f>
        <v>0</v>
      </c>
      <c r="D447">
        <f>'Shipment Data for Provisioning'!E452</f>
        <v>0</v>
      </c>
      <c r="E447">
        <f>'Shipment Data for Provisioning'!F452</f>
        <v>0</v>
      </c>
      <c r="F447">
        <f>'Shipment Data for Provisioning'!G452</f>
        <v>0</v>
      </c>
      <c r="G447">
        <f>'Shipment Data for Provisioning'!H452</f>
        <v>0</v>
      </c>
      <c r="H447">
        <f>'Shipment Data for Provisioning'!I452</f>
        <v>0</v>
      </c>
      <c r="I447" t="e">
        <f>VLOOKUP(B447,'Location Data'!$C$5:$G$1004,4,FALSE)</f>
        <v>#N/A</v>
      </c>
      <c r="J447" t="e">
        <f>VLOOKUP(B447,'Location Data'!$C$5:$G$1004,5,FALSE)</f>
        <v>#N/A</v>
      </c>
      <c r="K447" t="e">
        <f>VLOOKUP(C447,'Location Data'!$C$5:$G$1004,4,FALSE)</f>
        <v>#N/A</v>
      </c>
      <c r="L447" t="e">
        <f>VLOOKUP(C447,'Location Data'!$C$5:$G$1004,5,FALSE)</f>
        <v>#N/A</v>
      </c>
    </row>
    <row r="448" spans="1:12" x14ac:dyDescent="0.2">
      <c r="A448">
        <f>'Shipment Data for Provisioning'!B453</f>
        <v>0</v>
      </c>
      <c r="B448">
        <f>'Shipment Data for Provisioning'!C453</f>
        <v>0</v>
      </c>
      <c r="C448">
        <f>'Shipment Data for Provisioning'!D453</f>
        <v>0</v>
      </c>
      <c r="D448">
        <f>'Shipment Data for Provisioning'!E453</f>
        <v>0</v>
      </c>
      <c r="E448">
        <f>'Shipment Data for Provisioning'!F453</f>
        <v>0</v>
      </c>
      <c r="F448">
        <f>'Shipment Data for Provisioning'!G453</f>
        <v>0</v>
      </c>
      <c r="G448">
        <f>'Shipment Data for Provisioning'!H453</f>
        <v>0</v>
      </c>
      <c r="H448">
        <f>'Shipment Data for Provisioning'!I453</f>
        <v>0</v>
      </c>
      <c r="I448" t="e">
        <f>VLOOKUP(B448,'Location Data'!$C$5:$G$1004,4,FALSE)</f>
        <v>#N/A</v>
      </c>
      <c r="J448" t="e">
        <f>VLOOKUP(B448,'Location Data'!$C$5:$G$1004,5,FALSE)</f>
        <v>#N/A</v>
      </c>
      <c r="K448" t="e">
        <f>VLOOKUP(C448,'Location Data'!$C$5:$G$1004,4,FALSE)</f>
        <v>#N/A</v>
      </c>
      <c r="L448" t="e">
        <f>VLOOKUP(C448,'Location Data'!$C$5:$G$1004,5,FALSE)</f>
        <v>#N/A</v>
      </c>
    </row>
    <row r="449" spans="1:12" x14ac:dyDescent="0.2">
      <c r="A449">
        <f>'Shipment Data for Provisioning'!B454</f>
        <v>0</v>
      </c>
      <c r="B449">
        <f>'Shipment Data for Provisioning'!C454</f>
        <v>0</v>
      </c>
      <c r="C449">
        <f>'Shipment Data for Provisioning'!D454</f>
        <v>0</v>
      </c>
      <c r="D449">
        <f>'Shipment Data for Provisioning'!E454</f>
        <v>0</v>
      </c>
      <c r="E449">
        <f>'Shipment Data for Provisioning'!F454</f>
        <v>0</v>
      </c>
      <c r="F449">
        <f>'Shipment Data for Provisioning'!G454</f>
        <v>0</v>
      </c>
      <c r="G449">
        <f>'Shipment Data for Provisioning'!H454</f>
        <v>0</v>
      </c>
      <c r="H449">
        <f>'Shipment Data for Provisioning'!I454</f>
        <v>0</v>
      </c>
      <c r="I449" t="e">
        <f>VLOOKUP(B449,'Location Data'!$C$5:$G$1004,4,FALSE)</f>
        <v>#N/A</v>
      </c>
      <c r="J449" t="e">
        <f>VLOOKUP(B449,'Location Data'!$C$5:$G$1004,5,FALSE)</f>
        <v>#N/A</v>
      </c>
      <c r="K449" t="e">
        <f>VLOOKUP(C449,'Location Data'!$C$5:$G$1004,4,FALSE)</f>
        <v>#N/A</v>
      </c>
      <c r="L449" t="e">
        <f>VLOOKUP(C449,'Location Data'!$C$5:$G$1004,5,FALSE)</f>
        <v>#N/A</v>
      </c>
    </row>
    <row r="450" spans="1:12" x14ac:dyDescent="0.2">
      <c r="A450">
        <f>'Shipment Data for Provisioning'!B455</f>
        <v>0</v>
      </c>
      <c r="B450">
        <f>'Shipment Data for Provisioning'!C455</f>
        <v>0</v>
      </c>
      <c r="C450">
        <f>'Shipment Data for Provisioning'!D455</f>
        <v>0</v>
      </c>
      <c r="D450">
        <f>'Shipment Data for Provisioning'!E455</f>
        <v>0</v>
      </c>
      <c r="E450">
        <f>'Shipment Data for Provisioning'!F455</f>
        <v>0</v>
      </c>
      <c r="F450">
        <f>'Shipment Data for Provisioning'!G455</f>
        <v>0</v>
      </c>
      <c r="G450">
        <f>'Shipment Data for Provisioning'!H455</f>
        <v>0</v>
      </c>
      <c r="H450">
        <f>'Shipment Data for Provisioning'!I455</f>
        <v>0</v>
      </c>
      <c r="I450" t="e">
        <f>VLOOKUP(B450,'Location Data'!$C$5:$G$1004,4,FALSE)</f>
        <v>#N/A</v>
      </c>
      <c r="J450" t="e">
        <f>VLOOKUP(B450,'Location Data'!$C$5:$G$1004,5,FALSE)</f>
        <v>#N/A</v>
      </c>
      <c r="K450" t="e">
        <f>VLOOKUP(C450,'Location Data'!$C$5:$G$1004,4,FALSE)</f>
        <v>#N/A</v>
      </c>
      <c r="L450" t="e">
        <f>VLOOKUP(C450,'Location Data'!$C$5:$G$1004,5,FALSE)</f>
        <v>#N/A</v>
      </c>
    </row>
    <row r="451" spans="1:12" x14ac:dyDescent="0.2">
      <c r="A451">
        <f>'Shipment Data for Provisioning'!B456</f>
        <v>0</v>
      </c>
      <c r="B451">
        <f>'Shipment Data for Provisioning'!C456</f>
        <v>0</v>
      </c>
      <c r="C451">
        <f>'Shipment Data for Provisioning'!D456</f>
        <v>0</v>
      </c>
      <c r="D451">
        <f>'Shipment Data for Provisioning'!E456</f>
        <v>0</v>
      </c>
      <c r="E451">
        <f>'Shipment Data for Provisioning'!F456</f>
        <v>0</v>
      </c>
      <c r="F451">
        <f>'Shipment Data for Provisioning'!G456</f>
        <v>0</v>
      </c>
      <c r="G451">
        <f>'Shipment Data for Provisioning'!H456</f>
        <v>0</v>
      </c>
      <c r="H451">
        <f>'Shipment Data for Provisioning'!I456</f>
        <v>0</v>
      </c>
      <c r="I451" t="e">
        <f>VLOOKUP(B451,'Location Data'!$C$5:$G$1004,4,FALSE)</f>
        <v>#N/A</v>
      </c>
      <c r="J451" t="e">
        <f>VLOOKUP(B451,'Location Data'!$C$5:$G$1004,5,FALSE)</f>
        <v>#N/A</v>
      </c>
      <c r="K451" t="e">
        <f>VLOOKUP(C451,'Location Data'!$C$5:$G$1004,4,FALSE)</f>
        <v>#N/A</v>
      </c>
      <c r="L451" t="e">
        <f>VLOOKUP(C451,'Location Data'!$C$5:$G$1004,5,FALSE)</f>
        <v>#N/A</v>
      </c>
    </row>
    <row r="452" spans="1:12" x14ac:dyDescent="0.2">
      <c r="A452">
        <f>'Shipment Data for Provisioning'!B457</f>
        <v>0</v>
      </c>
      <c r="B452">
        <f>'Shipment Data for Provisioning'!C457</f>
        <v>0</v>
      </c>
      <c r="C452">
        <f>'Shipment Data for Provisioning'!D457</f>
        <v>0</v>
      </c>
      <c r="D452">
        <f>'Shipment Data for Provisioning'!E457</f>
        <v>0</v>
      </c>
      <c r="E452">
        <f>'Shipment Data for Provisioning'!F457</f>
        <v>0</v>
      </c>
      <c r="F452">
        <f>'Shipment Data for Provisioning'!G457</f>
        <v>0</v>
      </c>
      <c r="G452">
        <f>'Shipment Data for Provisioning'!H457</f>
        <v>0</v>
      </c>
      <c r="H452">
        <f>'Shipment Data for Provisioning'!I457</f>
        <v>0</v>
      </c>
      <c r="I452" t="e">
        <f>VLOOKUP(B452,'Location Data'!$C$5:$G$1004,4,FALSE)</f>
        <v>#N/A</v>
      </c>
      <c r="J452" t="e">
        <f>VLOOKUP(B452,'Location Data'!$C$5:$G$1004,5,FALSE)</f>
        <v>#N/A</v>
      </c>
      <c r="K452" t="e">
        <f>VLOOKUP(C452,'Location Data'!$C$5:$G$1004,4,FALSE)</f>
        <v>#N/A</v>
      </c>
      <c r="L452" t="e">
        <f>VLOOKUP(C452,'Location Data'!$C$5:$G$1004,5,FALSE)</f>
        <v>#N/A</v>
      </c>
    </row>
    <row r="453" spans="1:12" x14ac:dyDescent="0.2">
      <c r="A453">
        <f>'Shipment Data for Provisioning'!B458</f>
        <v>0</v>
      </c>
      <c r="B453">
        <f>'Shipment Data for Provisioning'!C458</f>
        <v>0</v>
      </c>
      <c r="C453">
        <f>'Shipment Data for Provisioning'!D458</f>
        <v>0</v>
      </c>
      <c r="D453">
        <f>'Shipment Data for Provisioning'!E458</f>
        <v>0</v>
      </c>
      <c r="E453">
        <f>'Shipment Data for Provisioning'!F458</f>
        <v>0</v>
      </c>
      <c r="F453">
        <f>'Shipment Data for Provisioning'!G458</f>
        <v>0</v>
      </c>
      <c r="G453">
        <f>'Shipment Data for Provisioning'!H458</f>
        <v>0</v>
      </c>
      <c r="H453">
        <f>'Shipment Data for Provisioning'!I458</f>
        <v>0</v>
      </c>
      <c r="I453" t="e">
        <f>VLOOKUP(B453,'Location Data'!$C$5:$G$1004,4,FALSE)</f>
        <v>#N/A</v>
      </c>
      <c r="J453" t="e">
        <f>VLOOKUP(B453,'Location Data'!$C$5:$G$1004,5,FALSE)</f>
        <v>#N/A</v>
      </c>
      <c r="K453" t="e">
        <f>VLOOKUP(C453,'Location Data'!$C$5:$G$1004,4,FALSE)</f>
        <v>#N/A</v>
      </c>
      <c r="L453" t="e">
        <f>VLOOKUP(C453,'Location Data'!$C$5:$G$1004,5,FALSE)</f>
        <v>#N/A</v>
      </c>
    </row>
    <row r="454" spans="1:12" x14ac:dyDescent="0.2">
      <c r="A454">
        <f>'Shipment Data for Provisioning'!B459</f>
        <v>0</v>
      </c>
      <c r="B454">
        <f>'Shipment Data for Provisioning'!C459</f>
        <v>0</v>
      </c>
      <c r="C454">
        <f>'Shipment Data for Provisioning'!D459</f>
        <v>0</v>
      </c>
      <c r="D454">
        <f>'Shipment Data for Provisioning'!E459</f>
        <v>0</v>
      </c>
      <c r="E454">
        <f>'Shipment Data for Provisioning'!F459</f>
        <v>0</v>
      </c>
      <c r="F454">
        <f>'Shipment Data for Provisioning'!G459</f>
        <v>0</v>
      </c>
      <c r="G454">
        <f>'Shipment Data for Provisioning'!H459</f>
        <v>0</v>
      </c>
      <c r="H454">
        <f>'Shipment Data for Provisioning'!I459</f>
        <v>0</v>
      </c>
      <c r="I454" t="e">
        <f>VLOOKUP(B454,'Location Data'!$C$5:$G$1004,4,FALSE)</f>
        <v>#N/A</v>
      </c>
      <c r="J454" t="e">
        <f>VLOOKUP(B454,'Location Data'!$C$5:$G$1004,5,FALSE)</f>
        <v>#N/A</v>
      </c>
      <c r="K454" t="e">
        <f>VLOOKUP(C454,'Location Data'!$C$5:$G$1004,4,FALSE)</f>
        <v>#N/A</v>
      </c>
      <c r="L454" t="e">
        <f>VLOOKUP(C454,'Location Data'!$C$5:$G$1004,5,FALSE)</f>
        <v>#N/A</v>
      </c>
    </row>
    <row r="455" spans="1:12" x14ac:dyDescent="0.2">
      <c r="A455">
        <f>'Shipment Data for Provisioning'!B460</f>
        <v>0</v>
      </c>
      <c r="B455">
        <f>'Shipment Data for Provisioning'!C460</f>
        <v>0</v>
      </c>
      <c r="C455">
        <f>'Shipment Data for Provisioning'!D460</f>
        <v>0</v>
      </c>
      <c r="D455">
        <f>'Shipment Data for Provisioning'!E460</f>
        <v>0</v>
      </c>
      <c r="E455">
        <f>'Shipment Data for Provisioning'!F460</f>
        <v>0</v>
      </c>
      <c r="F455">
        <f>'Shipment Data for Provisioning'!G460</f>
        <v>0</v>
      </c>
      <c r="G455">
        <f>'Shipment Data for Provisioning'!H460</f>
        <v>0</v>
      </c>
      <c r="H455">
        <f>'Shipment Data for Provisioning'!I460</f>
        <v>0</v>
      </c>
      <c r="I455" t="e">
        <f>VLOOKUP(B455,'Location Data'!$C$5:$G$1004,4,FALSE)</f>
        <v>#N/A</v>
      </c>
      <c r="J455" t="e">
        <f>VLOOKUP(B455,'Location Data'!$C$5:$G$1004,5,FALSE)</f>
        <v>#N/A</v>
      </c>
      <c r="K455" t="e">
        <f>VLOOKUP(C455,'Location Data'!$C$5:$G$1004,4,FALSE)</f>
        <v>#N/A</v>
      </c>
      <c r="L455" t="e">
        <f>VLOOKUP(C455,'Location Data'!$C$5:$G$1004,5,FALSE)</f>
        <v>#N/A</v>
      </c>
    </row>
    <row r="456" spans="1:12" x14ac:dyDescent="0.2">
      <c r="A456">
        <f>'Shipment Data for Provisioning'!B461</f>
        <v>0</v>
      </c>
      <c r="B456">
        <f>'Shipment Data for Provisioning'!C461</f>
        <v>0</v>
      </c>
      <c r="C456">
        <f>'Shipment Data for Provisioning'!D461</f>
        <v>0</v>
      </c>
      <c r="D456">
        <f>'Shipment Data for Provisioning'!E461</f>
        <v>0</v>
      </c>
      <c r="E456">
        <f>'Shipment Data for Provisioning'!F461</f>
        <v>0</v>
      </c>
      <c r="F456">
        <f>'Shipment Data for Provisioning'!G461</f>
        <v>0</v>
      </c>
      <c r="G456">
        <f>'Shipment Data for Provisioning'!H461</f>
        <v>0</v>
      </c>
      <c r="H456">
        <f>'Shipment Data for Provisioning'!I461</f>
        <v>0</v>
      </c>
      <c r="I456" t="e">
        <f>VLOOKUP(B456,'Location Data'!$C$5:$G$1004,4,FALSE)</f>
        <v>#N/A</v>
      </c>
      <c r="J456" t="e">
        <f>VLOOKUP(B456,'Location Data'!$C$5:$G$1004,5,FALSE)</f>
        <v>#N/A</v>
      </c>
      <c r="K456" t="e">
        <f>VLOOKUP(C456,'Location Data'!$C$5:$G$1004,4,FALSE)</f>
        <v>#N/A</v>
      </c>
      <c r="L456" t="e">
        <f>VLOOKUP(C456,'Location Data'!$C$5:$G$1004,5,FALSE)</f>
        <v>#N/A</v>
      </c>
    </row>
    <row r="457" spans="1:12" x14ac:dyDescent="0.2">
      <c r="A457">
        <f>'Shipment Data for Provisioning'!B462</f>
        <v>0</v>
      </c>
      <c r="B457">
        <f>'Shipment Data for Provisioning'!C462</f>
        <v>0</v>
      </c>
      <c r="C457">
        <f>'Shipment Data for Provisioning'!D462</f>
        <v>0</v>
      </c>
      <c r="D457">
        <f>'Shipment Data for Provisioning'!E462</f>
        <v>0</v>
      </c>
      <c r="E457">
        <f>'Shipment Data for Provisioning'!F462</f>
        <v>0</v>
      </c>
      <c r="F457">
        <f>'Shipment Data for Provisioning'!G462</f>
        <v>0</v>
      </c>
      <c r="G457">
        <f>'Shipment Data for Provisioning'!H462</f>
        <v>0</v>
      </c>
      <c r="H457">
        <f>'Shipment Data for Provisioning'!I462</f>
        <v>0</v>
      </c>
      <c r="I457" t="e">
        <f>VLOOKUP(B457,'Location Data'!$C$5:$G$1004,4,FALSE)</f>
        <v>#N/A</v>
      </c>
      <c r="J457" t="e">
        <f>VLOOKUP(B457,'Location Data'!$C$5:$G$1004,5,FALSE)</f>
        <v>#N/A</v>
      </c>
      <c r="K457" t="e">
        <f>VLOOKUP(C457,'Location Data'!$C$5:$G$1004,4,FALSE)</f>
        <v>#N/A</v>
      </c>
      <c r="L457" t="e">
        <f>VLOOKUP(C457,'Location Data'!$C$5:$G$1004,5,FALSE)</f>
        <v>#N/A</v>
      </c>
    </row>
    <row r="458" spans="1:12" x14ac:dyDescent="0.2">
      <c r="A458">
        <f>'Shipment Data for Provisioning'!B463</f>
        <v>0</v>
      </c>
      <c r="B458">
        <f>'Shipment Data for Provisioning'!C463</f>
        <v>0</v>
      </c>
      <c r="C458">
        <f>'Shipment Data for Provisioning'!D463</f>
        <v>0</v>
      </c>
      <c r="D458">
        <f>'Shipment Data for Provisioning'!E463</f>
        <v>0</v>
      </c>
      <c r="E458">
        <f>'Shipment Data for Provisioning'!F463</f>
        <v>0</v>
      </c>
      <c r="F458">
        <f>'Shipment Data for Provisioning'!G463</f>
        <v>0</v>
      </c>
      <c r="G458">
        <f>'Shipment Data for Provisioning'!H463</f>
        <v>0</v>
      </c>
      <c r="H458">
        <f>'Shipment Data for Provisioning'!I463</f>
        <v>0</v>
      </c>
      <c r="I458" t="e">
        <f>VLOOKUP(B458,'Location Data'!$C$5:$G$1004,4,FALSE)</f>
        <v>#N/A</v>
      </c>
      <c r="J458" t="e">
        <f>VLOOKUP(B458,'Location Data'!$C$5:$G$1004,5,FALSE)</f>
        <v>#N/A</v>
      </c>
      <c r="K458" t="e">
        <f>VLOOKUP(C458,'Location Data'!$C$5:$G$1004,4,FALSE)</f>
        <v>#N/A</v>
      </c>
      <c r="L458" t="e">
        <f>VLOOKUP(C458,'Location Data'!$C$5:$G$1004,5,FALSE)</f>
        <v>#N/A</v>
      </c>
    </row>
    <row r="459" spans="1:12" x14ac:dyDescent="0.2">
      <c r="A459">
        <f>'Shipment Data for Provisioning'!B464</f>
        <v>0</v>
      </c>
      <c r="B459">
        <f>'Shipment Data for Provisioning'!C464</f>
        <v>0</v>
      </c>
      <c r="C459">
        <f>'Shipment Data for Provisioning'!D464</f>
        <v>0</v>
      </c>
      <c r="D459">
        <f>'Shipment Data for Provisioning'!E464</f>
        <v>0</v>
      </c>
      <c r="E459">
        <f>'Shipment Data for Provisioning'!F464</f>
        <v>0</v>
      </c>
      <c r="F459">
        <f>'Shipment Data for Provisioning'!G464</f>
        <v>0</v>
      </c>
      <c r="G459">
        <f>'Shipment Data for Provisioning'!H464</f>
        <v>0</v>
      </c>
      <c r="H459">
        <f>'Shipment Data for Provisioning'!I464</f>
        <v>0</v>
      </c>
      <c r="I459" t="e">
        <f>VLOOKUP(B459,'Location Data'!$C$5:$G$1004,4,FALSE)</f>
        <v>#N/A</v>
      </c>
      <c r="J459" t="e">
        <f>VLOOKUP(B459,'Location Data'!$C$5:$G$1004,5,FALSE)</f>
        <v>#N/A</v>
      </c>
      <c r="K459" t="e">
        <f>VLOOKUP(C459,'Location Data'!$C$5:$G$1004,4,FALSE)</f>
        <v>#N/A</v>
      </c>
      <c r="L459" t="e">
        <f>VLOOKUP(C459,'Location Data'!$C$5:$G$1004,5,FALSE)</f>
        <v>#N/A</v>
      </c>
    </row>
    <row r="460" spans="1:12" x14ac:dyDescent="0.2">
      <c r="A460">
        <f>'Shipment Data for Provisioning'!B465</f>
        <v>0</v>
      </c>
      <c r="B460">
        <f>'Shipment Data for Provisioning'!C465</f>
        <v>0</v>
      </c>
      <c r="C460">
        <f>'Shipment Data for Provisioning'!D465</f>
        <v>0</v>
      </c>
      <c r="D460">
        <f>'Shipment Data for Provisioning'!E465</f>
        <v>0</v>
      </c>
      <c r="E460">
        <f>'Shipment Data for Provisioning'!F465</f>
        <v>0</v>
      </c>
      <c r="F460">
        <f>'Shipment Data for Provisioning'!G465</f>
        <v>0</v>
      </c>
      <c r="G460">
        <f>'Shipment Data for Provisioning'!H465</f>
        <v>0</v>
      </c>
      <c r="H460">
        <f>'Shipment Data for Provisioning'!I465</f>
        <v>0</v>
      </c>
      <c r="I460" t="e">
        <f>VLOOKUP(B460,'Location Data'!$C$5:$G$1004,4,FALSE)</f>
        <v>#N/A</v>
      </c>
      <c r="J460" t="e">
        <f>VLOOKUP(B460,'Location Data'!$C$5:$G$1004,5,FALSE)</f>
        <v>#N/A</v>
      </c>
      <c r="K460" t="e">
        <f>VLOOKUP(C460,'Location Data'!$C$5:$G$1004,4,FALSE)</f>
        <v>#N/A</v>
      </c>
      <c r="L460" t="e">
        <f>VLOOKUP(C460,'Location Data'!$C$5:$G$1004,5,FALSE)</f>
        <v>#N/A</v>
      </c>
    </row>
    <row r="461" spans="1:12" x14ac:dyDescent="0.2">
      <c r="A461">
        <f>'Shipment Data for Provisioning'!B466</f>
        <v>0</v>
      </c>
      <c r="B461">
        <f>'Shipment Data for Provisioning'!C466</f>
        <v>0</v>
      </c>
      <c r="C461">
        <f>'Shipment Data for Provisioning'!D466</f>
        <v>0</v>
      </c>
      <c r="D461">
        <f>'Shipment Data for Provisioning'!E466</f>
        <v>0</v>
      </c>
      <c r="E461">
        <f>'Shipment Data for Provisioning'!F466</f>
        <v>0</v>
      </c>
      <c r="F461">
        <f>'Shipment Data for Provisioning'!G466</f>
        <v>0</v>
      </c>
      <c r="G461">
        <f>'Shipment Data for Provisioning'!H466</f>
        <v>0</v>
      </c>
      <c r="H461">
        <f>'Shipment Data for Provisioning'!I466</f>
        <v>0</v>
      </c>
      <c r="I461" t="e">
        <f>VLOOKUP(B461,'Location Data'!$C$5:$G$1004,4,FALSE)</f>
        <v>#N/A</v>
      </c>
      <c r="J461" t="e">
        <f>VLOOKUP(B461,'Location Data'!$C$5:$G$1004,5,FALSE)</f>
        <v>#N/A</v>
      </c>
      <c r="K461" t="e">
        <f>VLOOKUP(C461,'Location Data'!$C$5:$G$1004,4,FALSE)</f>
        <v>#N/A</v>
      </c>
      <c r="L461" t="e">
        <f>VLOOKUP(C461,'Location Data'!$C$5:$G$1004,5,FALSE)</f>
        <v>#N/A</v>
      </c>
    </row>
    <row r="462" spans="1:12" x14ac:dyDescent="0.2">
      <c r="A462">
        <f>'Shipment Data for Provisioning'!B467</f>
        <v>0</v>
      </c>
      <c r="B462">
        <f>'Shipment Data for Provisioning'!C467</f>
        <v>0</v>
      </c>
      <c r="C462">
        <f>'Shipment Data for Provisioning'!D467</f>
        <v>0</v>
      </c>
      <c r="D462">
        <f>'Shipment Data for Provisioning'!E467</f>
        <v>0</v>
      </c>
      <c r="E462">
        <f>'Shipment Data for Provisioning'!F467</f>
        <v>0</v>
      </c>
      <c r="F462">
        <f>'Shipment Data for Provisioning'!G467</f>
        <v>0</v>
      </c>
      <c r="G462">
        <f>'Shipment Data for Provisioning'!H467</f>
        <v>0</v>
      </c>
      <c r="H462">
        <f>'Shipment Data for Provisioning'!I467</f>
        <v>0</v>
      </c>
      <c r="I462" t="e">
        <f>VLOOKUP(B462,'Location Data'!$C$5:$G$1004,4,FALSE)</f>
        <v>#N/A</v>
      </c>
      <c r="J462" t="e">
        <f>VLOOKUP(B462,'Location Data'!$C$5:$G$1004,5,FALSE)</f>
        <v>#N/A</v>
      </c>
      <c r="K462" t="e">
        <f>VLOOKUP(C462,'Location Data'!$C$5:$G$1004,4,FALSE)</f>
        <v>#N/A</v>
      </c>
      <c r="L462" t="e">
        <f>VLOOKUP(C462,'Location Data'!$C$5:$G$1004,5,FALSE)</f>
        <v>#N/A</v>
      </c>
    </row>
    <row r="463" spans="1:12" x14ac:dyDescent="0.2">
      <c r="A463">
        <f>'Shipment Data for Provisioning'!B468</f>
        <v>0</v>
      </c>
      <c r="B463">
        <f>'Shipment Data for Provisioning'!C468</f>
        <v>0</v>
      </c>
      <c r="C463">
        <f>'Shipment Data for Provisioning'!D468</f>
        <v>0</v>
      </c>
      <c r="D463">
        <f>'Shipment Data for Provisioning'!E468</f>
        <v>0</v>
      </c>
      <c r="E463">
        <f>'Shipment Data for Provisioning'!F468</f>
        <v>0</v>
      </c>
      <c r="F463">
        <f>'Shipment Data for Provisioning'!G468</f>
        <v>0</v>
      </c>
      <c r="G463">
        <f>'Shipment Data for Provisioning'!H468</f>
        <v>0</v>
      </c>
      <c r="H463">
        <f>'Shipment Data for Provisioning'!I468</f>
        <v>0</v>
      </c>
      <c r="I463" t="e">
        <f>VLOOKUP(B463,'Location Data'!$C$5:$G$1004,4,FALSE)</f>
        <v>#N/A</v>
      </c>
      <c r="J463" t="e">
        <f>VLOOKUP(B463,'Location Data'!$C$5:$G$1004,5,FALSE)</f>
        <v>#N/A</v>
      </c>
      <c r="K463" t="e">
        <f>VLOOKUP(C463,'Location Data'!$C$5:$G$1004,4,FALSE)</f>
        <v>#N/A</v>
      </c>
      <c r="L463" t="e">
        <f>VLOOKUP(C463,'Location Data'!$C$5:$G$1004,5,FALSE)</f>
        <v>#N/A</v>
      </c>
    </row>
    <row r="464" spans="1:12" x14ac:dyDescent="0.2">
      <c r="A464">
        <f>'Shipment Data for Provisioning'!B469</f>
        <v>0</v>
      </c>
      <c r="B464">
        <f>'Shipment Data for Provisioning'!C469</f>
        <v>0</v>
      </c>
      <c r="C464">
        <f>'Shipment Data for Provisioning'!D469</f>
        <v>0</v>
      </c>
      <c r="D464">
        <f>'Shipment Data for Provisioning'!E469</f>
        <v>0</v>
      </c>
      <c r="E464">
        <f>'Shipment Data for Provisioning'!F469</f>
        <v>0</v>
      </c>
      <c r="F464">
        <f>'Shipment Data for Provisioning'!G469</f>
        <v>0</v>
      </c>
      <c r="G464">
        <f>'Shipment Data for Provisioning'!H469</f>
        <v>0</v>
      </c>
      <c r="H464">
        <f>'Shipment Data for Provisioning'!I469</f>
        <v>0</v>
      </c>
      <c r="I464" t="e">
        <f>VLOOKUP(B464,'Location Data'!$C$5:$G$1004,4,FALSE)</f>
        <v>#N/A</v>
      </c>
      <c r="J464" t="e">
        <f>VLOOKUP(B464,'Location Data'!$C$5:$G$1004,5,FALSE)</f>
        <v>#N/A</v>
      </c>
      <c r="K464" t="e">
        <f>VLOOKUP(C464,'Location Data'!$C$5:$G$1004,4,FALSE)</f>
        <v>#N/A</v>
      </c>
      <c r="L464" t="e">
        <f>VLOOKUP(C464,'Location Data'!$C$5:$G$1004,5,FALSE)</f>
        <v>#N/A</v>
      </c>
    </row>
    <row r="465" spans="1:12" x14ac:dyDescent="0.2">
      <c r="A465">
        <f>'Shipment Data for Provisioning'!B470</f>
        <v>0</v>
      </c>
      <c r="B465">
        <f>'Shipment Data for Provisioning'!C470</f>
        <v>0</v>
      </c>
      <c r="C465">
        <f>'Shipment Data for Provisioning'!D470</f>
        <v>0</v>
      </c>
      <c r="D465">
        <f>'Shipment Data for Provisioning'!E470</f>
        <v>0</v>
      </c>
      <c r="E465">
        <f>'Shipment Data for Provisioning'!F470</f>
        <v>0</v>
      </c>
      <c r="F465">
        <f>'Shipment Data for Provisioning'!G470</f>
        <v>0</v>
      </c>
      <c r="G465">
        <f>'Shipment Data for Provisioning'!H470</f>
        <v>0</v>
      </c>
      <c r="H465">
        <f>'Shipment Data for Provisioning'!I470</f>
        <v>0</v>
      </c>
      <c r="I465" t="e">
        <f>VLOOKUP(B465,'Location Data'!$C$5:$G$1004,4,FALSE)</f>
        <v>#N/A</v>
      </c>
      <c r="J465" t="e">
        <f>VLOOKUP(B465,'Location Data'!$C$5:$G$1004,5,FALSE)</f>
        <v>#N/A</v>
      </c>
      <c r="K465" t="e">
        <f>VLOOKUP(C465,'Location Data'!$C$5:$G$1004,4,FALSE)</f>
        <v>#N/A</v>
      </c>
      <c r="L465" t="e">
        <f>VLOOKUP(C465,'Location Data'!$C$5:$G$1004,5,FALSE)</f>
        <v>#N/A</v>
      </c>
    </row>
    <row r="466" spans="1:12" x14ac:dyDescent="0.2">
      <c r="A466">
        <f>'Shipment Data for Provisioning'!B471</f>
        <v>0</v>
      </c>
      <c r="B466">
        <f>'Shipment Data for Provisioning'!C471</f>
        <v>0</v>
      </c>
      <c r="C466">
        <f>'Shipment Data for Provisioning'!D471</f>
        <v>0</v>
      </c>
      <c r="D466">
        <f>'Shipment Data for Provisioning'!E471</f>
        <v>0</v>
      </c>
      <c r="E466">
        <f>'Shipment Data for Provisioning'!F471</f>
        <v>0</v>
      </c>
      <c r="F466">
        <f>'Shipment Data for Provisioning'!G471</f>
        <v>0</v>
      </c>
      <c r="G466">
        <f>'Shipment Data for Provisioning'!H471</f>
        <v>0</v>
      </c>
      <c r="H466">
        <f>'Shipment Data for Provisioning'!I471</f>
        <v>0</v>
      </c>
      <c r="I466" t="e">
        <f>VLOOKUP(B466,'Location Data'!$C$5:$G$1004,4,FALSE)</f>
        <v>#N/A</v>
      </c>
      <c r="J466" t="e">
        <f>VLOOKUP(B466,'Location Data'!$C$5:$G$1004,5,FALSE)</f>
        <v>#N/A</v>
      </c>
      <c r="K466" t="e">
        <f>VLOOKUP(C466,'Location Data'!$C$5:$G$1004,4,FALSE)</f>
        <v>#N/A</v>
      </c>
      <c r="L466" t="e">
        <f>VLOOKUP(C466,'Location Data'!$C$5:$G$1004,5,FALSE)</f>
        <v>#N/A</v>
      </c>
    </row>
    <row r="467" spans="1:12" x14ac:dyDescent="0.2">
      <c r="A467">
        <f>'Shipment Data for Provisioning'!B472</f>
        <v>0</v>
      </c>
      <c r="B467">
        <f>'Shipment Data for Provisioning'!C472</f>
        <v>0</v>
      </c>
      <c r="C467">
        <f>'Shipment Data for Provisioning'!D472</f>
        <v>0</v>
      </c>
      <c r="D467">
        <f>'Shipment Data for Provisioning'!E472</f>
        <v>0</v>
      </c>
      <c r="E467">
        <f>'Shipment Data for Provisioning'!F472</f>
        <v>0</v>
      </c>
      <c r="F467">
        <f>'Shipment Data for Provisioning'!G472</f>
        <v>0</v>
      </c>
      <c r="G467">
        <f>'Shipment Data for Provisioning'!H472</f>
        <v>0</v>
      </c>
      <c r="H467">
        <f>'Shipment Data for Provisioning'!I472</f>
        <v>0</v>
      </c>
      <c r="I467" t="e">
        <f>VLOOKUP(B467,'Location Data'!$C$5:$G$1004,4,FALSE)</f>
        <v>#N/A</v>
      </c>
      <c r="J467" t="e">
        <f>VLOOKUP(B467,'Location Data'!$C$5:$G$1004,5,FALSE)</f>
        <v>#N/A</v>
      </c>
      <c r="K467" t="e">
        <f>VLOOKUP(C467,'Location Data'!$C$5:$G$1004,4,FALSE)</f>
        <v>#N/A</v>
      </c>
      <c r="L467" t="e">
        <f>VLOOKUP(C467,'Location Data'!$C$5:$G$1004,5,FALSE)</f>
        <v>#N/A</v>
      </c>
    </row>
    <row r="468" spans="1:12" x14ac:dyDescent="0.2">
      <c r="A468">
        <f>'Shipment Data for Provisioning'!B473</f>
        <v>0</v>
      </c>
      <c r="B468">
        <f>'Shipment Data for Provisioning'!C473</f>
        <v>0</v>
      </c>
      <c r="C468">
        <f>'Shipment Data for Provisioning'!D473</f>
        <v>0</v>
      </c>
      <c r="D468">
        <f>'Shipment Data for Provisioning'!E473</f>
        <v>0</v>
      </c>
      <c r="E468">
        <f>'Shipment Data for Provisioning'!F473</f>
        <v>0</v>
      </c>
      <c r="F468">
        <f>'Shipment Data for Provisioning'!G473</f>
        <v>0</v>
      </c>
      <c r="G468">
        <f>'Shipment Data for Provisioning'!H473</f>
        <v>0</v>
      </c>
      <c r="H468">
        <f>'Shipment Data for Provisioning'!I473</f>
        <v>0</v>
      </c>
      <c r="I468" t="e">
        <f>VLOOKUP(B468,'Location Data'!$C$5:$G$1004,4,FALSE)</f>
        <v>#N/A</v>
      </c>
      <c r="J468" t="e">
        <f>VLOOKUP(B468,'Location Data'!$C$5:$G$1004,5,FALSE)</f>
        <v>#N/A</v>
      </c>
      <c r="K468" t="e">
        <f>VLOOKUP(C468,'Location Data'!$C$5:$G$1004,4,FALSE)</f>
        <v>#N/A</v>
      </c>
      <c r="L468" t="e">
        <f>VLOOKUP(C468,'Location Data'!$C$5:$G$1004,5,FALSE)</f>
        <v>#N/A</v>
      </c>
    </row>
    <row r="469" spans="1:12" x14ac:dyDescent="0.2">
      <c r="A469">
        <f>'Shipment Data for Provisioning'!B474</f>
        <v>0</v>
      </c>
      <c r="B469">
        <f>'Shipment Data for Provisioning'!C474</f>
        <v>0</v>
      </c>
      <c r="C469">
        <f>'Shipment Data for Provisioning'!D474</f>
        <v>0</v>
      </c>
      <c r="D469">
        <f>'Shipment Data for Provisioning'!E474</f>
        <v>0</v>
      </c>
      <c r="E469">
        <f>'Shipment Data for Provisioning'!F474</f>
        <v>0</v>
      </c>
      <c r="F469">
        <f>'Shipment Data for Provisioning'!G474</f>
        <v>0</v>
      </c>
      <c r="G469">
        <f>'Shipment Data for Provisioning'!H474</f>
        <v>0</v>
      </c>
      <c r="H469">
        <f>'Shipment Data for Provisioning'!I474</f>
        <v>0</v>
      </c>
      <c r="I469" t="e">
        <f>VLOOKUP(B469,'Location Data'!$C$5:$G$1004,4,FALSE)</f>
        <v>#N/A</v>
      </c>
      <c r="J469" t="e">
        <f>VLOOKUP(B469,'Location Data'!$C$5:$G$1004,5,FALSE)</f>
        <v>#N/A</v>
      </c>
      <c r="K469" t="e">
        <f>VLOOKUP(C469,'Location Data'!$C$5:$G$1004,4,FALSE)</f>
        <v>#N/A</v>
      </c>
      <c r="L469" t="e">
        <f>VLOOKUP(C469,'Location Data'!$C$5:$G$1004,5,FALSE)</f>
        <v>#N/A</v>
      </c>
    </row>
    <row r="470" spans="1:12" x14ac:dyDescent="0.2">
      <c r="A470">
        <f>'Shipment Data for Provisioning'!B475</f>
        <v>0</v>
      </c>
      <c r="B470">
        <f>'Shipment Data for Provisioning'!C475</f>
        <v>0</v>
      </c>
      <c r="C470">
        <f>'Shipment Data for Provisioning'!D475</f>
        <v>0</v>
      </c>
      <c r="D470">
        <f>'Shipment Data for Provisioning'!E475</f>
        <v>0</v>
      </c>
      <c r="E470">
        <f>'Shipment Data for Provisioning'!F475</f>
        <v>0</v>
      </c>
      <c r="F470">
        <f>'Shipment Data for Provisioning'!G475</f>
        <v>0</v>
      </c>
      <c r="G470">
        <f>'Shipment Data for Provisioning'!H475</f>
        <v>0</v>
      </c>
      <c r="H470">
        <f>'Shipment Data for Provisioning'!I475</f>
        <v>0</v>
      </c>
      <c r="I470" t="e">
        <f>VLOOKUP(B470,'Location Data'!$C$5:$G$1004,4,FALSE)</f>
        <v>#N/A</v>
      </c>
      <c r="J470" t="e">
        <f>VLOOKUP(B470,'Location Data'!$C$5:$G$1004,5,FALSE)</f>
        <v>#N/A</v>
      </c>
      <c r="K470" t="e">
        <f>VLOOKUP(C470,'Location Data'!$C$5:$G$1004,4,FALSE)</f>
        <v>#N/A</v>
      </c>
      <c r="L470" t="e">
        <f>VLOOKUP(C470,'Location Data'!$C$5:$G$1004,5,FALSE)</f>
        <v>#N/A</v>
      </c>
    </row>
    <row r="471" spans="1:12" x14ac:dyDescent="0.2">
      <c r="A471">
        <f>'Shipment Data for Provisioning'!B476</f>
        <v>0</v>
      </c>
      <c r="B471">
        <f>'Shipment Data for Provisioning'!C476</f>
        <v>0</v>
      </c>
      <c r="C471">
        <f>'Shipment Data for Provisioning'!D476</f>
        <v>0</v>
      </c>
      <c r="D471">
        <f>'Shipment Data for Provisioning'!E476</f>
        <v>0</v>
      </c>
      <c r="E471">
        <f>'Shipment Data for Provisioning'!F476</f>
        <v>0</v>
      </c>
      <c r="F471">
        <f>'Shipment Data for Provisioning'!G476</f>
        <v>0</v>
      </c>
      <c r="G471">
        <f>'Shipment Data for Provisioning'!H476</f>
        <v>0</v>
      </c>
      <c r="H471">
        <f>'Shipment Data for Provisioning'!I476</f>
        <v>0</v>
      </c>
      <c r="I471" t="e">
        <f>VLOOKUP(B471,'Location Data'!$C$5:$G$1004,4,FALSE)</f>
        <v>#N/A</v>
      </c>
      <c r="J471" t="e">
        <f>VLOOKUP(B471,'Location Data'!$C$5:$G$1004,5,FALSE)</f>
        <v>#N/A</v>
      </c>
      <c r="K471" t="e">
        <f>VLOOKUP(C471,'Location Data'!$C$5:$G$1004,4,FALSE)</f>
        <v>#N/A</v>
      </c>
      <c r="L471" t="e">
        <f>VLOOKUP(C471,'Location Data'!$C$5:$G$1004,5,FALSE)</f>
        <v>#N/A</v>
      </c>
    </row>
    <row r="472" spans="1:12" x14ac:dyDescent="0.2">
      <c r="A472">
        <f>'Shipment Data for Provisioning'!B477</f>
        <v>0</v>
      </c>
      <c r="B472">
        <f>'Shipment Data for Provisioning'!C477</f>
        <v>0</v>
      </c>
      <c r="C472">
        <f>'Shipment Data for Provisioning'!D477</f>
        <v>0</v>
      </c>
      <c r="D472">
        <f>'Shipment Data for Provisioning'!E477</f>
        <v>0</v>
      </c>
      <c r="E472">
        <f>'Shipment Data for Provisioning'!F477</f>
        <v>0</v>
      </c>
      <c r="F472">
        <f>'Shipment Data for Provisioning'!G477</f>
        <v>0</v>
      </c>
      <c r="G472">
        <f>'Shipment Data for Provisioning'!H477</f>
        <v>0</v>
      </c>
      <c r="H472">
        <f>'Shipment Data for Provisioning'!I477</f>
        <v>0</v>
      </c>
      <c r="I472" t="e">
        <f>VLOOKUP(B472,'Location Data'!$C$5:$G$1004,4,FALSE)</f>
        <v>#N/A</v>
      </c>
      <c r="J472" t="e">
        <f>VLOOKUP(B472,'Location Data'!$C$5:$G$1004,5,FALSE)</f>
        <v>#N/A</v>
      </c>
      <c r="K472" t="e">
        <f>VLOOKUP(C472,'Location Data'!$C$5:$G$1004,4,FALSE)</f>
        <v>#N/A</v>
      </c>
      <c r="L472" t="e">
        <f>VLOOKUP(C472,'Location Data'!$C$5:$G$1004,5,FALSE)</f>
        <v>#N/A</v>
      </c>
    </row>
    <row r="473" spans="1:12" x14ac:dyDescent="0.2">
      <c r="A473">
        <f>'Shipment Data for Provisioning'!B478</f>
        <v>0</v>
      </c>
      <c r="B473">
        <f>'Shipment Data for Provisioning'!C478</f>
        <v>0</v>
      </c>
      <c r="C473">
        <f>'Shipment Data for Provisioning'!D478</f>
        <v>0</v>
      </c>
      <c r="D473">
        <f>'Shipment Data for Provisioning'!E478</f>
        <v>0</v>
      </c>
      <c r="E473">
        <f>'Shipment Data for Provisioning'!F478</f>
        <v>0</v>
      </c>
      <c r="F473">
        <f>'Shipment Data for Provisioning'!G478</f>
        <v>0</v>
      </c>
      <c r="G473">
        <f>'Shipment Data for Provisioning'!H478</f>
        <v>0</v>
      </c>
      <c r="H473">
        <f>'Shipment Data for Provisioning'!I478</f>
        <v>0</v>
      </c>
      <c r="I473" t="e">
        <f>VLOOKUP(B473,'Location Data'!$C$5:$G$1004,4,FALSE)</f>
        <v>#N/A</v>
      </c>
      <c r="J473" t="e">
        <f>VLOOKUP(B473,'Location Data'!$C$5:$G$1004,5,FALSE)</f>
        <v>#N/A</v>
      </c>
      <c r="K473" t="e">
        <f>VLOOKUP(C473,'Location Data'!$C$5:$G$1004,4,FALSE)</f>
        <v>#N/A</v>
      </c>
      <c r="L473" t="e">
        <f>VLOOKUP(C473,'Location Data'!$C$5:$G$1004,5,FALSE)</f>
        <v>#N/A</v>
      </c>
    </row>
    <row r="474" spans="1:12" x14ac:dyDescent="0.2">
      <c r="A474">
        <f>'Shipment Data for Provisioning'!B479</f>
        <v>0</v>
      </c>
      <c r="B474">
        <f>'Shipment Data for Provisioning'!C479</f>
        <v>0</v>
      </c>
      <c r="C474">
        <f>'Shipment Data for Provisioning'!D479</f>
        <v>0</v>
      </c>
      <c r="D474">
        <f>'Shipment Data for Provisioning'!E479</f>
        <v>0</v>
      </c>
      <c r="E474">
        <f>'Shipment Data for Provisioning'!F479</f>
        <v>0</v>
      </c>
      <c r="F474">
        <f>'Shipment Data for Provisioning'!G479</f>
        <v>0</v>
      </c>
      <c r="G474">
        <f>'Shipment Data for Provisioning'!H479</f>
        <v>0</v>
      </c>
      <c r="H474">
        <f>'Shipment Data for Provisioning'!I479</f>
        <v>0</v>
      </c>
      <c r="I474" t="e">
        <f>VLOOKUP(B474,'Location Data'!$C$5:$G$1004,4,FALSE)</f>
        <v>#N/A</v>
      </c>
      <c r="J474" t="e">
        <f>VLOOKUP(B474,'Location Data'!$C$5:$G$1004,5,FALSE)</f>
        <v>#N/A</v>
      </c>
      <c r="K474" t="e">
        <f>VLOOKUP(C474,'Location Data'!$C$5:$G$1004,4,FALSE)</f>
        <v>#N/A</v>
      </c>
      <c r="L474" t="e">
        <f>VLOOKUP(C474,'Location Data'!$C$5:$G$1004,5,FALSE)</f>
        <v>#N/A</v>
      </c>
    </row>
    <row r="475" spans="1:12" x14ac:dyDescent="0.2">
      <c r="A475">
        <f>'Shipment Data for Provisioning'!B480</f>
        <v>0</v>
      </c>
      <c r="B475">
        <f>'Shipment Data for Provisioning'!C480</f>
        <v>0</v>
      </c>
      <c r="C475">
        <f>'Shipment Data for Provisioning'!D480</f>
        <v>0</v>
      </c>
      <c r="D475">
        <f>'Shipment Data for Provisioning'!E480</f>
        <v>0</v>
      </c>
      <c r="E475">
        <f>'Shipment Data for Provisioning'!F480</f>
        <v>0</v>
      </c>
      <c r="F475">
        <f>'Shipment Data for Provisioning'!G480</f>
        <v>0</v>
      </c>
      <c r="G475">
        <f>'Shipment Data for Provisioning'!H480</f>
        <v>0</v>
      </c>
      <c r="H475">
        <f>'Shipment Data for Provisioning'!I480</f>
        <v>0</v>
      </c>
      <c r="I475" t="e">
        <f>VLOOKUP(B475,'Location Data'!$C$5:$G$1004,4,FALSE)</f>
        <v>#N/A</v>
      </c>
      <c r="J475" t="e">
        <f>VLOOKUP(B475,'Location Data'!$C$5:$G$1004,5,FALSE)</f>
        <v>#N/A</v>
      </c>
      <c r="K475" t="e">
        <f>VLOOKUP(C475,'Location Data'!$C$5:$G$1004,4,FALSE)</f>
        <v>#N/A</v>
      </c>
      <c r="L475" t="e">
        <f>VLOOKUP(C475,'Location Data'!$C$5:$G$1004,5,FALSE)</f>
        <v>#N/A</v>
      </c>
    </row>
    <row r="476" spans="1:12" x14ac:dyDescent="0.2">
      <c r="A476">
        <f>'Shipment Data for Provisioning'!B481</f>
        <v>0</v>
      </c>
      <c r="B476">
        <f>'Shipment Data for Provisioning'!C481</f>
        <v>0</v>
      </c>
      <c r="C476">
        <f>'Shipment Data for Provisioning'!D481</f>
        <v>0</v>
      </c>
      <c r="D476">
        <f>'Shipment Data for Provisioning'!E481</f>
        <v>0</v>
      </c>
      <c r="E476">
        <f>'Shipment Data for Provisioning'!F481</f>
        <v>0</v>
      </c>
      <c r="F476">
        <f>'Shipment Data for Provisioning'!G481</f>
        <v>0</v>
      </c>
      <c r="G476">
        <f>'Shipment Data for Provisioning'!H481</f>
        <v>0</v>
      </c>
      <c r="H476">
        <f>'Shipment Data for Provisioning'!I481</f>
        <v>0</v>
      </c>
      <c r="I476" t="e">
        <f>VLOOKUP(B476,'Location Data'!$C$5:$G$1004,4,FALSE)</f>
        <v>#N/A</v>
      </c>
      <c r="J476" t="e">
        <f>VLOOKUP(B476,'Location Data'!$C$5:$G$1004,5,FALSE)</f>
        <v>#N/A</v>
      </c>
      <c r="K476" t="e">
        <f>VLOOKUP(C476,'Location Data'!$C$5:$G$1004,4,FALSE)</f>
        <v>#N/A</v>
      </c>
      <c r="L476" t="e">
        <f>VLOOKUP(C476,'Location Data'!$C$5:$G$1004,5,FALSE)</f>
        <v>#N/A</v>
      </c>
    </row>
    <row r="477" spans="1:12" x14ac:dyDescent="0.2">
      <c r="A477">
        <f>'Shipment Data for Provisioning'!B482</f>
        <v>0</v>
      </c>
      <c r="B477">
        <f>'Shipment Data for Provisioning'!C482</f>
        <v>0</v>
      </c>
      <c r="C477">
        <f>'Shipment Data for Provisioning'!D482</f>
        <v>0</v>
      </c>
      <c r="D477">
        <f>'Shipment Data for Provisioning'!E482</f>
        <v>0</v>
      </c>
      <c r="E477">
        <f>'Shipment Data for Provisioning'!F482</f>
        <v>0</v>
      </c>
      <c r="F477">
        <f>'Shipment Data for Provisioning'!G482</f>
        <v>0</v>
      </c>
      <c r="G477">
        <f>'Shipment Data for Provisioning'!H482</f>
        <v>0</v>
      </c>
      <c r="H477">
        <f>'Shipment Data for Provisioning'!I482</f>
        <v>0</v>
      </c>
      <c r="I477" t="e">
        <f>VLOOKUP(B477,'Location Data'!$C$5:$G$1004,4,FALSE)</f>
        <v>#N/A</v>
      </c>
      <c r="J477" t="e">
        <f>VLOOKUP(B477,'Location Data'!$C$5:$G$1004,5,FALSE)</f>
        <v>#N/A</v>
      </c>
      <c r="K477" t="e">
        <f>VLOOKUP(C477,'Location Data'!$C$5:$G$1004,4,FALSE)</f>
        <v>#N/A</v>
      </c>
      <c r="L477" t="e">
        <f>VLOOKUP(C477,'Location Data'!$C$5:$G$1004,5,FALSE)</f>
        <v>#N/A</v>
      </c>
    </row>
    <row r="478" spans="1:12" x14ac:dyDescent="0.2">
      <c r="A478">
        <f>'Shipment Data for Provisioning'!B483</f>
        <v>0</v>
      </c>
      <c r="B478">
        <f>'Shipment Data for Provisioning'!C483</f>
        <v>0</v>
      </c>
      <c r="C478">
        <f>'Shipment Data for Provisioning'!D483</f>
        <v>0</v>
      </c>
      <c r="D478">
        <f>'Shipment Data for Provisioning'!E483</f>
        <v>0</v>
      </c>
      <c r="E478">
        <f>'Shipment Data for Provisioning'!F483</f>
        <v>0</v>
      </c>
      <c r="F478">
        <f>'Shipment Data for Provisioning'!G483</f>
        <v>0</v>
      </c>
      <c r="G478">
        <f>'Shipment Data for Provisioning'!H483</f>
        <v>0</v>
      </c>
      <c r="H478">
        <f>'Shipment Data for Provisioning'!I483</f>
        <v>0</v>
      </c>
      <c r="I478" t="e">
        <f>VLOOKUP(B478,'Location Data'!$C$5:$G$1004,4,FALSE)</f>
        <v>#N/A</v>
      </c>
      <c r="J478" t="e">
        <f>VLOOKUP(B478,'Location Data'!$C$5:$G$1004,5,FALSE)</f>
        <v>#N/A</v>
      </c>
      <c r="K478" t="e">
        <f>VLOOKUP(C478,'Location Data'!$C$5:$G$1004,4,FALSE)</f>
        <v>#N/A</v>
      </c>
      <c r="L478" t="e">
        <f>VLOOKUP(C478,'Location Data'!$C$5:$G$1004,5,FALSE)</f>
        <v>#N/A</v>
      </c>
    </row>
    <row r="479" spans="1:12" x14ac:dyDescent="0.2">
      <c r="A479">
        <f>'Shipment Data for Provisioning'!B484</f>
        <v>0</v>
      </c>
      <c r="B479">
        <f>'Shipment Data for Provisioning'!C484</f>
        <v>0</v>
      </c>
      <c r="C479">
        <f>'Shipment Data for Provisioning'!D484</f>
        <v>0</v>
      </c>
      <c r="D479">
        <f>'Shipment Data for Provisioning'!E484</f>
        <v>0</v>
      </c>
      <c r="E479">
        <f>'Shipment Data for Provisioning'!F484</f>
        <v>0</v>
      </c>
      <c r="F479">
        <f>'Shipment Data for Provisioning'!G484</f>
        <v>0</v>
      </c>
      <c r="G479">
        <f>'Shipment Data for Provisioning'!H484</f>
        <v>0</v>
      </c>
      <c r="H479">
        <f>'Shipment Data for Provisioning'!I484</f>
        <v>0</v>
      </c>
      <c r="I479" t="e">
        <f>VLOOKUP(B479,'Location Data'!$C$5:$G$1004,4,FALSE)</f>
        <v>#N/A</v>
      </c>
      <c r="J479" t="e">
        <f>VLOOKUP(B479,'Location Data'!$C$5:$G$1004,5,FALSE)</f>
        <v>#N/A</v>
      </c>
      <c r="K479" t="e">
        <f>VLOOKUP(C479,'Location Data'!$C$5:$G$1004,4,FALSE)</f>
        <v>#N/A</v>
      </c>
      <c r="L479" t="e">
        <f>VLOOKUP(C479,'Location Data'!$C$5:$G$1004,5,FALSE)</f>
        <v>#N/A</v>
      </c>
    </row>
    <row r="480" spans="1:12" x14ac:dyDescent="0.2">
      <c r="A480">
        <f>'Shipment Data for Provisioning'!B485</f>
        <v>0</v>
      </c>
      <c r="B480">
        <f>'Shipment Data for Provisioning'!C485</f>
        <v>0</v>
      </c>
      <c r="C480">
        <f>'Shipment Data for Provisioning'!D485</f>
        <v>0</v>
      </c>
      <c r="D480">
        <f>'Shipment Data for Provisioning'!E485</f>
        <v>0</v>
      </c>
      <c r="E480">
        <f>'Shipment Data for Provisioning'!F485</f>
        <v>0</v>
      </c>
      <c r="F480">
        <f>'Shipment Data for Provisioning'!G485</f>
        <v>0</v>
      </c>
      <c r="G480">
        <f>'Shipment Data for Provisioning'!H485</f>
        <v>0</v>
      </c>
      <c r="H480">
        <f>'Shipment Data for Provisioning'!I485</f>
        <v>0</v>
      </c>
      <c r="I480" t="e">
        <f>VLOOKUP(B480,'Location Data'!$C$5:$G$1004,4,FALSE)</f>
        <v>#N/A</v>
      </c>
      <c r="J480" t="e">
        <f>VLOOKUP(B480,'Location Data'!$C$5:$G$1004,5,FALSE)</f>
        <v>#N/A</v>
      </c>
      <c r="K480" t="e">
        <f>VLOOKUP(C480,'Location Data'!$C$5:$G$1004,4,FALSE)</f>
        <v>#N/A</v>
      </c>
      <c r="L480" t="e">
        <f>VLOOKUP(C480,'Location Data'!$C$5:$G$1004,5,FALSE)</f>
        <v>#N/A</v>
      </c>
    </row>
    <row r="481" spans="1:12" x14ac:dyDescent="0.2">
      <c r="A481">
        <f>'Shipment Data for Provisioning'!B486</f>
        <v>0</v>
      </c>
      <c r="B481">
        <f>'Shipment Data for Provisioning'!C486</f>
        <v>0</v>
      </c>
      <c r="C481">
        <f>'Shipment Data for Provisioning'!D486</f>
        <v>0</v>
      </c>
      <c r="D481">
        <f>'Shipment Data for Provisioning'!E486</f>
        <v>0</v>
      </c>
      <c r="E481">
        <f>'Shipment Data for Provisioning'!F486</f>
        <v>0</v>
      </c>
      <c r="F481">
        <f>'Shipment Data for Provisioning'!G486</f>
        <v>0</v>
      </c>
      <c r="G481">
        <f>'Shipment Data for Provisioning'!H486</f>
        <v>0</v>
      </c>
      <c r="H481">
        <f>'Shipment Data for Provisioning'!I486</f>
        <v>0</v>
      </c>
      <c r="I481" t="e">
        <f>VLOOKUP(B481,'Location Data'!$C$5:$G$1004,4,FALSE)</f>
        <v>#N/A</v>
      </c>
      <c r="J481" t="e">
        <f>VLOOKUP(B481,'Location Data'!$C$5:$G$1004,5,FALSE)</f>
        <v>#N/A</v>
      </c>
      <c r="K481" t="e">
        <f>VLOOKUP(C481,'Location Data'!$C$5:$G$1004,4,FALSE)</f>
        <v>#N/A</v>
      </c>
      <c r="L481" t="e">
        <f>VLOOKUP(C481,'Location Data'!$C$5:$G$1004,5,FALSE)</f>
        <v>#N/A</v>
      </c>
    </row>
    <row r="482" spans="1:12" x14ac:dyDescent="0.2">
      <c r="A482">
        <f>'Shipment Data for Provisioning'!B487</f>
        <v>0</v>
      </c>
      <c r="B482">
        <f>'Shipment Data for Provisioning'!C487</f>
        <v>0</v>
      </c>
      <c r="C482">
        <f>'Shipment Data for Provisioning'!D487</f>
        <v>0</v>
      </c>
      <c r="D482">
        <f>'Shipment Data for Provisioning'!E487</f>
        <v>0</v>
      </c>
      <c r="E482">
        <f>'Shipment Data for Provisioning'!F487</f>
        <v>0</v>
      </c>
      <c r="F482">
        <f>'Shipment Data for Provisioning'!G487</f>
        <v>0</v>
      </c>
      <c r="G482">
        <f>'Shipment Data for Provisioning'!H487</f>
        <v>0</v>
      </c>
      <c r="H482">
        <f>'Shipment Data for Provisioning'!I487</f>
        <v>0</v>
      </c>
      <c r="I482" t="e">
        <f>VLOOKUP(B482,'Location Data'!$C$5:$G$1004,4,FALSE)</f>
        <v>#N/A</v>
      </c>
      <c r="J482" t="e">
        <f>VLOOKUP(B482,'Location Data'!$C$5:$G$1004,5,FALSE)</f>
        <v>#N/A</v>
      </c>
      <c r="K482" t="e">
        <f>VLOOKUP(C482,'Location Data'!$C$5:$G$1004,4,FALSE)</f>
        <v>#N/A</v>
      </c>
      <c r="L482" t="e">
        <f>VLOOKUP(C482,'Location Data'!$C$5:$G$1004,5,FALSE)</f>
        <v>#N/A</v>
      </c>
    </row>
    <row r="483" spans="1:12" x14ac:dyDescent="0.2">
      <c r="A483">
        <f>'Shipment Data for Provisioning'!B488</f>
        <v>0</v>
      </c>
      <c r="B483">
        <f>'Shipment Data for Provisioning'!C488</f>
        <v>0</v>
      </c>
      <c r="C483">
        <f>'Shipment Data for Provisioning'!D488</f>
        <v>0</v>
      </c>
      <c r="D483">
        <f>'Shipment Data for Provisioning'!E488</f>
        <v>0</v>
      </c>
      <c r="E483">
        <f>'Shipment Data for Provisioning'!F488</f>
        <v>0</v>
      </c>
      <c r="F483">
        <f>'Shipment Data for Provisioning'!G488</f>
        <v>0</v>
      </c>
      <c r="G483">
        <f>'Shipment Data for Provisioning'!H488</f>
        <v>0</v>
      </c>
      <c r="H483">
        <f>'Shipment Data for Provisioning'!I488</f>
        <v>0</v>
      </c>
      <c r="I483" t="e">
        <f>VLOOKUP(B483,'Location Data'!$C$5:$G$1004,4,FALSE)</f>
        <v>#N/A</v>
      </c>
      <c r="J483" t="e">
        <f>VLOOKUP(B483,'Location Data'!$C$5:$G$1004,5,FALSE)</f>
        <v>#N/A</v>
      </c>
      <c r="K483" t="e">
        <f>VLOOKUP(C483,'Location Data'!$C$5:$G$1004,4,FALSE)</f>
        <v>#N/A</v>
      </c>
      <c r="L483" t="e">
        <f>VLOOKUP(C483,'Location Data'!$C$5:$G$1004,5,FALSE)</f>
        <v>#N/A</v>
      </c>
    </row>
    <row r="484" spans="1:12" x14ac:dyDescent="0.2">
      <c r="A484">
        <f>'Shipment Data for Provisioning'!B489</f>
        <v>0</v>
      </c>
      <c r="B484">
        <f>'Shipment Data for Provisioning'!C489</f>
        <v>0</v>
      </c>
      <c r="C484">
        <f>'Shipment Data for Provisioning'!D489</f>
        <v>0</v>
      </c>
      <c r="D484">
        <f>'Shipment Data for Provisioning'!E489</f>
        <v>0</v>
      </c>
      <c r="E484">
        <f>'Shipment Data for Provisioning'!F489</f>
        <v>0</v>
      </c>
      <c r="F484">
        <f>'Shipment Data for Provisioning'!G489</f>
        <v>0</v>
      </c>
      <c r="G484">
        <f>'Shipment Data for Provisioning'!H489</f>
        <v>0</v>
      </c>
      <c r="H484">
        <f>'Shipment Data for Provisioning'!I489</f>
        <v>0</v>
      </c>
      <c r="I484" t="e">
        <f>VLOOKUP(B484,'Location Data'!$C$5:$G$1004,4,FALSE)</f>
        <v>#N/A</v>
      </c>
      <c r="J484" t="e">
        <f>VLOOKUP(B484,'Location Data'!$C$5:$G$1004,5,FALSE)</f>
        <v>#N/A</v>
      </c>
      <c r="K484" t="e">
        <f>VLOOKUP(C484,'Location Data'!$C$5:$G$1004,4,FALSE)</f>
        <v>#N/A</v>
      </c>
      <c r="L484" t="e">
        <f>VLOOKUP(C484,'Location Data'!$C$5:$G$1004,5,FALSE)</f>
        <v>#N/A</v>
      </c>
    </row>
    <row r="485" spans="1:12" x14ac:dyDescent="0.2">
      <c r="A485">
        <f>'Shipment Data for Provisioning'!B490</f>
        <v>0</v>
      </c>
      <c r="B485">
        <f>'Shipment Data for Provisioning'!C490</f>
        <v>0</v>
      </c>
      <c r="C485">
        <f>'Shipment Data for Provisioning'!D490</f>
        <v>0</v>
      </c>
      <c r="D485">
        <f>'Shipment Data for Provisioning'!E490</f>
        <v>0</v>
      </c>
      <c r="E485">
        <f>'Shipment Data for Provisioning'!F490</f>
        <v>0</v>
      </c>
      <c r="F485">
        <f>'Shipment Data for Provisioning'!G490</f>
        <v>0</v>
      </c>
      <c r="G485">
        <f>'Shipment Data for Provisioning'!H490</f>
        <v>0</v>
      </c>
      <c r="H485">
        <f>'Shipment Data for Provisioning'!I490</f>
        <v>0</v>
      </c>
      <c r="I485" t="e">
        <f>VLOOKUP(B485,'Location Data'!$C$5:$G$1004,4,FALSE)</f>
        <v>#N/A</v>
      </c>
      <c r="J485" t="e">
        <f>VLOOKUP(B485,'Location Data'!$C$5:$G$1004,5,FALSE)</f>
        <v>#N/A</v>
      </c>
      <c r="K485" t="e">
        <f>VLOOKUP(C485,'Location Data'!$C$5:$G$1004,4,FALSE)</f>
        <v>#N/A</v>
      </c>
      <c r="L485" t="e">
        <f>VLOOKUP(C485,'Location Data'!$C$5:$G$1004,5,FALSE)</f>
        <v>#N/A</v>
      </c>
    </row>
    <row r="486" spans="1:12" x14ac:dyDescent="0.2">
      <c r="A486">
        <f>'Shipment Data for Provisioning'!B491</f>
        <v>0</v>
      </c>
      <c r="B486">
        <f>'Shipment Data for Provisioning'!C491</f>
        <v>0</v>
      </c>
      <c r="C486">
        <f>'Shipment Data for Provisioning'!D491</f>
        <v>0</v>
      </c>
      <c r="D486">
        <f>'Shipment Data for Provisioning'!E491</f>
        <v>0</v>
      </c>
      <c r="E486">
        <f>'Shipment Data for Provisioning'!F491</f>
        <v>0</v>
      </c>
      <c r="F486">
        <f>'Shipment Data for Provisioning'!G491</f>
        <v>0</v>
      </c>
      <c r="G486">
        <f>'Shipment Data for Provisioning'!H491</f>
        <v>0</v>
      </c>
      <c r="H486">
        <f>'Shipment Data for Provisioning'!I491</f>
        <v>0</v>
      </c>
      <c r="I486" t="e">
        <f>VLOOKUP(B486,'Location Data'!$C$5:$G$1004,4,FALSE)</f>
        <v>#N/A</v>
      </c>
      <c r="J486" t="e">
        <f>VLOOKUP(B486,'Location Data'!$C$5:$G$1004,5,FALSE)</f>
        <v>#N/A</v>
      </c>
      <c r="K486" t="e">
        <f>VLOOKUP(C486,'Location Data'!$C$5:$G$1004,4,FALSE)</f>
        <v>#N/A</v>
      </c>
      <c r="L486" t="e">
        <f>VLOOKUP(C486,'Location Data'!$C$5:$G$1004,5,FALSE)</f>
        <v>#N/A</v>
      </c>
    </row>
    <row r="487" spans="1:12" x14ac:dyDescent="0.2">
      <c r="A487">
        <f>'Shipment Data for Provisioning'!B492</f>
        <v>0</v>
      </c>
      <c r="B487">
        <f>'Shipment Data for Provisioning'!C492</f>
        <v>0</v>
      </c>
      <c r="C487">
        <f>'Shipment Data for Provisioning'!D492</f>
        <v>0</v>
      </c>
      <c r="D487">
        <f>'Shipment Data for Provisioning'!E492</f>
        <v>0</v>
      </c>
      <c r="E487">
        <f>'Shipment Data for Provisioning'!F492</f>
        <v>0</v>
      </c>
      <c r="F487">
        <f>'Shipment Data for Provisioning'!G492</f>
        <v>0</v>
      </c>
      <c r="G487">
        <f>'Shipment Data for Provisioning'!H492</f>
        <v>0</v>
      </c>
      <c r="H487">
        <f>'Shipment Data for Provisioning'!I492</f>
        <v>0</v>
      </c>
      <c r="I487" t="e">
        <f>VLOOKUP(B487,'Location Data'!$C$5:$G$1004,4,FALSE)</f>
        <v>#N/A</v>
      </c>
      <c r="J487" t="e">
        <f>VLOOKUP(B487,'Location Data'!$C$5:$G$1004,5,FALSE)</f>
        <v>#N/A</v>
      </c>
      <c r="K487" t="e">
        <f>VLOOKUP(C487,'Location Data'!$C$5:$G$1004,4,FALSE)</f>
        <v>#N/A</v>
      </c>
      <c r="L487" t="e">
        <f>VLOOKUP(C487,'Location Data'!$C$5:$G$1004,5,FALSE)</f>
        <v>#N/A</v>
      </c>
    </row>
    <row r="488" spans="1:12" x14ac:dyDescent="0.2">
      <c r="A488">
        <f>'Shipment Data for Provisioning'!B493</f>
        <v>0</v>
      </c>
      <c r="B488">
        <f>'Shipment Data for Provisioning'!C493</f>
        <v>0</v>
      </c>
      <c r="C488">
        <f>'Shipment Data for Provisioning'!D493</f>
        <v>0</v>
      </c>
      <c r="D488">
        <f>'Shipment Data for Provisioning'!E493</f>
        <v>0</v>
      </c>
      <c r="E488">
        <f>'Shipment Data for Provisioning'!F493</f>
        <v>0</v>
      </c>
      <c r="F488">
        <f>'Shipment Data for Provisioning'!G493</f>
        <v>0</v>
      </c>
      <c r="G488">
        <f>'Shipment Data for Provisioning'!H493</f>
        <v>0</v>
      </c>
      <c r="H488">
        <f>'Shipment Data for Provisioning'!I493</f>
        <v>0</v>
      </c>
      <c r="I488" t="e">
        <f>VLOOKUP(B488,'Location Data'!$C$5:$G$1004,4,FALSE)</f>
        <v>#N/A</v>
      </c>
      <c r="J488" t="e">
        <f>VLOOKUP(B488,'Location Data'!$C$5:$G$1004,5,FALSE)</f>
        <v>#N/A</v>
      </c>
      <c r="K488" t="e">
        <f>VLOOKUP(C488,'Location Data'!$C$5:$G$1004,4,FALSE)</f>
        <v>#N/A</v>
      </c>
      <c r="L488" t="e">
        <f>VLOOKUP(C488,'Location Data'!$C$5:$G$1004,5,FALSE)</f>
        <v>#N/A</v>
      </c>
    </row>
    <row r="489" spans="1:12" x14ac:dyDescent="0.2">
      <c r="A489">
        <f>'Shipment Data for Provisioning'!B494</f>
        <v>0</v>
      </c>
      <c r="B489">
        <f>'Shipment Data for Provisioning'!C494</f>
        <v>0</v>
      </c>
      <c r="C489">
        <f>'Shipment Data for Provisioning'!D494</f>
        <v>0</v>
      </c>
      <c r="D489">
        <f>'Shipment Data for Provisioning'!E494</f>
        <v>0</v>
      </c>
      <c r="E489">
        <f>'Shipment Data for Provisioning'!F494</f>
        <v>0</v>
      </c>
      <c r="F489">
        <f>'Shipment Data for Provisioning'!G494</f>
        <v>0</v>
      </c>
      <c r="G489">
        <f>'Shipment Data for Provisioning'!H494</f>
        <v>0</v>
      </c>
      <c r="H489">
        <f>'Shipment Data for Provisioning'!I494</f>
        <v>0</v>
      </c>
      <c r="I489" t="e">
        <f>VLOOKUP(B489,'Location Data'!$C$5:$G$1004,4,FALSE)</f>
        <v>#N/A</v>
      </c>
      <c r="J489" t="e">
        <f>VLOOKUP(B489,'Location Data'!$C$5:$G$1004,5,FALSE)</f>
        <v>#N/A</v>
      </c>
      <c r="K489" t="e">
        <f>VLOOKUP(C489,'Location Data'!$C$5:$G$1004,4,FALSE)</f>
        <v>#N/A</v>
      </c>
      <c r="L489" t="e">
        <f>VLOOKUP(C489,'Location Data'!$C$5:$G$1004,5,FALSE)</f>
        <v>#N/A</v>
      </c>
    </row>
    <row r="490" spans="1:12" x14ac:dyDescent="0.2">
      <c r="A490">
        <f>'Shipment Data for Provisioning'!B495</f>
        <v>0</v>
      </c>
      <c r="B490">
        <f>'Shipment Data for Provisioning'!C495</f>
        <v>0</v>
      </c>
      <c r="C490">
        <f>'Shipment Data for Provisioning'!D495</f>
        <v>0</v>
      </c>
      <c r="D490">
        <f>'Shipment Data for Provisioning'!E495</f>
        <v>0</v>
      </c>
      <c r="E490">
        <f>'Shipment Data for Provisioning'!F495</f>
        <v>0</v>
      </c>
      <c r="F490">
        <f>'Shipment Data for Provisioning'!G495</f>
        <v>0</v>
      </c>
      <c r="G490">
        <f>'Shipment Data for Provisioning'!H495</f>
        <v>0</v>
      </c>
      <c r="H490">
        <f>'Shipment Data for Provisioning'!I495</f>
        <v>0</v>
      </c>
      <c r="I490" t="e">
        <f>VLOOKUP(B490,'Location Data'!$C$5:$G$1004,4,FALSE)</f>
        <v>#N/A</v>
      </c>
      <c r="J490" t="e">
        <f>VLOOKUP(B490,'Location Data'!$C$5:$G$1004,5,FALSE)</f>
        <v>#N/A</v>
      </c>
      <c r="K490" t="e">
        <f>VLOOKUP(C490,'Location Data'!$C$5:$G$1004,4,FALSE)</f>
        <v>#N/A</v>
      </c>
      <c r="L490" t="e">
        <f>VLOOKUP(C490,'Location Data'!$C$5:$G$1004,5,FALSE)</f>
        <v>#N/A</v>
      </c>
    </row>
    <row r="491" spans="1:12" x14ac:dyDescent="0.2">
      <c r="A491">
        <f>'Shipment Data for Provisioning'!B496</f>
        <v>0</v>
      </c>
      <c r="B491">
        <f>'Shipment Data for Provisioning'!C496</f>
        <v>0</v>
      </c>
      <c r="C491">
        <f>'Shipment Data for Provisioning'!D496</f>
        <v>0</v>
      </c>
      <c r="D491">
        <f>'Shipment Data for Provisioning'!E496</f>
        <v>0</v>
      </c>
      <c r="E491">
        <f>'Shipment Data for Provisioning'!F496</f>
        <v>0</v>
      </c>
      <c r="F491">
        <f>'Shipment Data for Provisioning'!G496</f>
        <v>0</v>
      </c>
      <c r="G491">
        <f>'Shipment Data for Provisioning'!H496</f>
        <v>0</v>
      </c>
      <c r="H491">
        <f>'Shipment Data for Provisioning'!I496</f>
        <v>0</v>
      </c>
      <c r="I491" t="e">
        <f>VLOOKUP(B491,'Location Data'!$C$5:$G$1004,4,FALSE)</f>
        <v>#N/A</v>
      </c>
      <c r="J491" t="e">
        <f>VLOOKUP(B491,'Location Data'!$C$5:$G$1004,5,FALSE)</f>
        <v>#N/A</v>
      </c>
      <c r="K491" t="e">
        <f>VLOOKUP(C491,'Location Data'!$C$5:$G$1004,4,FALSE)</f>
        <v>#N/A</v>
      </c>
      <c r="L491" t="e">
        <f>VLOOKUP(C491,'Location Data'!$C$5:$G$1004,5,FALSE)</f>
        <v>#N/A</v>
      </c>
    </row>
    <row r="492" spans="1:12" x14ac:dyDescent="0.2">
      <c r="A492">
        <f>'Shipment Data for Provisioning'!B497</f>
        <v>0</v>
      </c>
      <c r="B492">
        <f>'Shipment Data for Provisioning'!C497</f>
        <v>0</v>
      </c>
      <c r="C492">
        <f>'Shipment Data for Provisioning'!D497</f>
        <v>0</v>
      </c>
      <c r="D492">
        <f>'Shipment Data for Provisioning'!E497</f>
        <v>0</v>
      </c>
      <c r="E492">
        <f>'Shipment Data for Provisioning'!F497</f>
        <v>0</v>
      </c>
      <c r="F492">
        <f>'Shipment Data for Provisioning'!G497</f>
        <v>0</v>
      </c>
      <c r="G492">
        <f>'Shipment Data for Provisioning'!H497</f>
        <v>0</v>
      </c>
      <c r="H492">
        <f>'Shipment Data for Provisioning'!I497</f>
        <v>0</v>
      </c>
      <c r="I492" t="e">
        <f>VLOOKUP(B492,'Location Data'!$C$5:$G$1004,4,FALSE)</f>
        <v>#N/A</v>
      </c>
      <c r="J492" t="e">
        <f>VLOOKUP(B492,'Location Data'!$C$5:$G$1004,5,FALSE)</f>
        <v>#N/A</v>
      </c>
      <c r="K492" t="e">
        <f>VLOOKUP(C492,'Location Data'!$C$5:$G$1004,4,FALSE)</f>
        <v>#N/A</v>
      </c>
      <c r="L492" t="e">
        <f>VLOOKUP(C492,'Location Data'!$C$5:$G$1004,5,FALSE)</f>
        <v>#N/A</v>
      </c>
    </row>
    <row r="493" spans="1:12" x14ac:dyDescent="0.2">
      <c r="A493">
        <f>'Shipment Data for Provisioning'!B498</f>
        <v>0</v>
      </c>
      <c r="B493">
        <f>'Shipment Data for Provisioning'!C498</f>
        <v>0</v>
      </c>
      <c r="C493">
        <f>'Shipment Data for Provisioning'!D498</f>
        <v>0</v>
      </c>
      <c r="D493">
        <f>'Shipment Data for Provisioning'!E498</f>
        <v>0</v>
      </c>
      <c r="E493">
        <f>'Shipment Data for Provisioning'!F498</f>
        <v>0</v>
      </c>
      <c r="F493">
        <f>'Shipment Data for Provisioning'!G498</f>
        <v>0</v>
      </c>
      <c r="G493">
        <f>'Shipment Data for Provisioning'!H498</f>
        <v>0</v>
      </c>
      <c r="H493">
        <f>'Shipment Data for Provisioning'!I498</f>
        <v>0</v>
      </c>
      <c r="I493" t="e">
        <f>VLOOKUP(B493,'Location Data'!$C$5:$G$1004,4,FALSE)</f>
        <v>#N/A</v>
      </c>
      <c r="J493" t="e">
        <f>VLOOKUP(B493,'Location Data'!$C$5:$G$1004,5,FALSE)</f>
        <v>#N/A</v>
      </c>
      <c r="K493" t="e">
        <f>VLOOKUP(C493,'Location Data'!$C$5:$G$1004,4,FALSE)</f>
        <v>#N/A</v>
      </c>
      <c r="L493" t="e">
        <f>VLOOKUP(C493,'Location Data'!$C$5:$G$1004,5,FALSE)</f>
        <v>#N/A</v>
      </c>
    </row>
    <row r="494" spans="1:12" x14ac:dyDescent="0.2">
      <c r="A494">
        <f>'Shipment Data for Provisioning'!B499</f>
        <v>0</v>
      </c>
      <c r="B494">
        <f>'Shipment Data for Provisioning'!C499</f>
        <v>0</v>
      </c>
      <c r="C494">
        <f>'Shipment Data for Provisioning'!D499</f>
        <v>0</v>
      </c>
      <c r="D494">
        <f>'Shipment Data for Provisioning'!E499</f>
        <v>0</v>
      </c>
      <c r="E494">
        <f>'Shipment Data for Provisioning'!F499</f>
        <v>0</v>
      </c>
      <c r="F494">
        <f>'Shipment Data for Provisioning'!G499</f>
        <v>0</v>
      </c>
      <c r="G494">
        <f>'Shipment Data for Provisioning'!H499</f>
        <v>0</v>
      </c>
      <c r="H494">
        <f>'Shipment Data for Provisioning'!I499</f>
        <v>0</v>
      </c>
      <c r="I494" t="e">
        <f>VLOOKUP(B494,'Location Data'!$C$5:$G$1004,4,FALSE)</f>
        <v>#N/A</v>
      </c>
      <c r="J494" t="e">
        <f>VLOOKUP(B494,'Location Data'!$C$5:$G$1004,5,FALSE)</f>
        <v>#N/A</v>
      </c>
      <c r="K494" t="e">
        <f>VLOOKUP(C494,'Location Data'!$C$5:$G$1004,4,FALSE)</f>
        <v>#N/A</v>
      </c>
      <c r="L494" t="e">
        <f>VLOOKUP(C494,'Location Data'!$C$5:$G$1004,5,FALSE)</f>
        <v>#N/A</v>
      </c>
    </row>
    <row r="495" spans="1:12" x14ac:dyDescent="0.2">
      <c r="A495">
        <f>'Shipment Data for Provisioning'!B500</f>
        <v>0</v>
      </c>
      <c r="B495">
        <f>'Shipment Data for Provisioning'!C500</f>
        <v>0</v>
      </c>
      <c r="C495">
        <f>'Shipment Data for Provisioning'!D500</f>
        <v>0</v>
      </c>
      <c r="D495">
        <f>'Shipment Data for Provisioning'!E500</f>
        <v>0</v>
      </c>
      <c r="E495">
        <f>'Shipment Data for Provisioning'!F500</f>
        <v>0</v>
      </c>
      <c r="F495">
        <f>'Shipment Data for Provisioning'!G500</f>
        <v>0</v>
      </c>
      <c r="G495">
        <f>'Shipment Data for Provisioning'!H500</f>
        <v>0</v>
      </c>
      <c r="H495">
        <f>'Shipment Data for Provisioning'!I500</f>
        <v>0</v>
      </c>
      <c r="I495" t="e">
        <f>VLOOKUP(B495,'Location Data'!$C$5:$G$1004,4,FALSE)</f>
        <v>#N/A</v>
      </c>
      <c r="J495" t="e">
        <f>VLOOKUP(B495,'Location Data'!$C$5:$G$1004,5,FALSE)</f>
        <v>#N/A</v>
      </c>
      <c r="K495" t="e">
        <f>VLOOKUP(C495,'Location Data'!$C$5:$G$1004,4,FALSE)</f>
        <v>#N/A</v>
      </c>
      <c r="L495" t="e">
        <f>VLOOKUP(C495,'Location Data'!$C$5:$G$1004,5,FALSE)</f>
        <v>#N/A</v>
      </c>
    </row>
    <row r="496" spans="1:12" x14ac:dyDescent="0.2">
      <c r="A496">
        <f>'Shipment Data for Provisioning'!B501</f>
        <v>0</v>
      </c>
      <c r="B496">
        <f>'Shipment Data for Provisioning'!C501</f>
        <v>0</v>
      </c>
      <c r="C496">
        <f>'Shipment Data for Provisioning'!D501</f>
        <v>0</v>
      </c>
      <c r="D496">
        <f>'Shipment Data for Provisioning'!E501</f>
        <v>0</v>
      </c>
      <c r="E496">
        <f>'Shipment Data for Provisioning'!F501</f>
        <v>0</v>
      </c>
      <c r="F496">
        <f>'Shipment Data for Provisioning'!G501</f>
        <v>0</v>
      </c>
      <c r="G496">
        <f>'Shipment Data for Provisioning'!H501</f>
        <v>0</v>
      </c>
      <c r="H496">
        <f>'Shipment Data for Provisioning'!I501</f>
        <v>0</v>
      </c>
      <c r="I496" t="e">
        <f>VLOOKUP(B496,'Location Data'!$C$5:$G$1004,4,FALSE)</f>
        <v>#N/A</v>
      </c>
      <c r="J496" t="e">
        <f>VLOOKUP(B496,'Location Data'!$C$5:$G$1004,5,FALSE)</f>
        <v>#N/A</v>
      </c>
      <c r="K496" t="e">
        <f>VLOOKUP(C496,'Location Data'!$C$5:$G$1004,4,FALSE)</f>
        <v>#N/A</v>
      </c>
      <c r="L496" t="e">
        <f>VLOOKUP(C496,'Location Data'!$C$5:$G$1004,5,FALSE)</f>
        <v>#N/A</v>
      </c>
    </row>
    <row r="497" spans="1:12" x14ac:dyDescent="0.2">
      <c r="A497">
        <f>'Shipment Data for Provisioning'!B502</f>
        <v>0</v>
      </c>
      <c r="B497">
        <f>'Shipment Data for Provisioning'!C502</f>
        <v>0</v>
      </c>
      <c r="C497">
        <f>'Shipment Data for Provisioning'!D502</f>
        <v>0</v>
      </c>
      <c r="D497">
        <f>'Shipment Data for Provisioning'!E502</f>
        <v>0</v>
      </c>
      <c r="E497">
        <f>'Shipment Data for Provisioning'!F502</f>
        <v>0</v>
      </c>
      <c r="F497">
        <f>'Shipment Data for Provisioning'!G502</f>
        <v>0</v>
      </c>
      <c r="G497">
        <f>'Shipment Data for Provisioning'!H502</f>
        <v>0</v>
      </c>
      <c r="H497">
        <f>'Shipment Data for Provisioning'!I502</f>
        <v>0</v>
      </c>
      <c r="I497" t="e">
        <f>VLOOKUP(B497,'Location Data'!$C$5:$G$1004,4,FALSE)</f>
        <v>#N/A</v>
      </c>
      <c r="J497" t="e">
        <f>VLOOKUP(B497,'Location Data'!$C$5:$G$1004,5,FALSE)</f>
        <v>#N/A</v>
      </c>
      <c r="K497" t="e">
        <f>VLOOKUP(C497,'Location Data'!$C$5:$G$1004,4,FALSE)</f>
        <v>#N/A</v>
      </c>
      <c r="L497" t="e">
        <f>VLOOKUP(C497,'Location Data'!$C$5:$G$1004,5,FALSE)</f>
        <v>#N/A</v>
      </c>
    </row>
    <row r="498" spans="1:12" x14ac:dyDescent="0.2">
      <c r="A498">
        <f>'Shipment Data for Provisioning'!B503</f>
        <v>0</v>
      </c>
      <c r="B498">
        <f>'Shipment Data for Provisioning'!C503</f>
        <v>0</v>
      </c>
      <c r="C498">
        <f>'Shipment Data for Provisioning'!D503</f>
        <v>0</v>
      </c>
      <c r="D498">
        <f>'Shipment Data for Provisioning'!E503</f>
        <v>0</v>
      </c>
      <c r="E498">
        <f>'Shipment Data for Provisioning'!F503</f>
        <v>0</v>
      </c>
      <c r="F498">
        <f>'Shipment Data for Provisioning'!G503</f>
        <v>0</v>
      </c>
      <c r="G498">
        <f>'Shipment Data for Provisioning'!H503</f>
        <v>0</v>
      </c>
      <c r="H498">
        <f>'Shipment Data for Provisioning'!I503</f>
        <v>0</v>
      </c>
      <c r="I498" t="e">
        <f>VLOOKUP(B498,'Location Data'!$C$5:$G$1004,4,FALSE)</f>
        <v>#N/A</v>
      </c>
      <c r="J498" t="e">
        <f>VLOOKUP(B498,'Location Data'!$C$5:$G$1004,5,FALSE)</f>
        <v>#N/A</v>
      </c>
      <c r="K498" t="e">
        <f>VLOOKUP(C498,'Location Data'!$C$5:$G$1004,4,FALSE)</f>
        <v>#N/A</v>
      </c>
      <c r="L498" t="e">
        <f>VLOOKUP(C498,'Location Data'!$C$5:$G$1004,5,FALSE)</f>
        <v>#N/A</v>
      </c>
    </row>
    <row r="499" spans="1:12" x14ac:dyDescent="0.2">
      <c r="A499">
        <f>'Shipment Data for Provisioning'!B504</f>
        <v>0</v>
      </c>
      <c r="B499">
        <f>'Shipment Data for Provisioning'!C504</f>
        <v>0</v>
      </c>
      <c r="C499">
        <f>'Shipment Data for Provisioning'!D504</f>
        <v>0</v>
      </c>
      <c r="D499">
        <f>'Shipment Data for Provisioning'!E504</f>
        <v>0</v>
      </c>
      <c r="E499">
        <f>'Shipment Data for Provisioning'!F504</f>
        <v>0</v>
      </c>
      <c r="F499">
        <f>'Shipment Data for Provisioning'!G504</f>
        <v>0</v>
      </c>
      <c r="G499">
        <f>'Shipment Data for Provisioning'!H504</f>
        <v>0</v>
      </c>
      <c r="H499">
        <f>'Shipment Data for Provisioning'!I504</f>
        <v>0</v>
      </c>
      <c r="I499" t="e">
        <f>VLOOKUP(B499,'Location Data'!$C$5:$G$1004,4,FALSE)</f>
        <v>#N/A</v>
      </c>
      <c r="J499" t="e">
        <f>VLOOKUP(B499,'Location Data'!$C$5:$G$1004,5,FALSE)</f>
        <v>#N/A</v>
      </c>
      <c r="K499" t="e">
        <f>VLOOKUP(C499,'Location Data'!$C$5:$G$1004,4,FALSE)</f>
        <v>#N/A</v>
      </c>
      <c r="L499" t="e">
        <f>VLOOKUP(C499,'Location Data'!$C$5:$G$1004,5,FALSE)</f>
        <v>#N/A</v>
      </c>
    </row>
    <row r="500" spans="1:12" x14ac:dyDescent="0.2">
      <c r="A500">
        <f>'Shipment Data for Provisioning'!B505</f>
        <v>0</v>
      </c>
      <c r="B500">
        <f>'Shipment Data for Provisioning'!C505</f>
        <v>0</v>
      </c>
      <c r="C500">
        <f>'Shipment Data for Provisioning'!D505</f>
        <v>0</v>
      </c>
      <c r="D500">
        <f>'Shipment Data for Provisioning'!E505</f>
        <v>0</v>
      </c>
      <c r="E500">
        <f>'Shipment Data for Provisioning'!F505</f>
        <v>0</v>
      </c>
      <c r="F500">
        <f>'Shipment Data for Provisioning'!G505</f>
        <v>0</v>
      </c>
      <c r="G500">
        <f>'Shipment Data for Provisioning'!H505</f>
        <v>0</v>
      </c>
      <c r="H500">
        <f>'Shipment Data for Provisioning'!I505</f>
        <v>0</v>
      </c>
      <c r="I500" t="e">
        <f>VLOOKUP(B500,'Location Data'!$C$5:$G$1004,4,FALSE)</f>
        <v>#N/A</v>
      </c>
      <c r="J500" t="e">
        <f>VLOOKUP(B500,'Location Data'!$C$5:$G$1004,5,FALSE)</f>
        <v>#N/A</v>
      </c>
      <c r="K500" t="e">
        <f>VLOOKUP(C500,'Location Data'!$C$5:$G$1004,4,FALSE)</f>
        <v>#N/A</v>
      </c>
      <c r="L500" t="e">
        <f>VLOOKUP(C500,'Location Data'!$C$5:$G$1004,5,FALSE)</f>
        <v>#N/A</v>
      </c>
    </row>
    <row r="501" spans="1:12" x14ac:dyDescent="0.2">
      <c r="A501">
        <f>'Shipment Data for Provisioning'!B506</f>
        <v>0</v>
      </c>
      <c r="B501">
        <f>'Shipment Data for Provisioning'!C506</f>
        <v>0</v>
      </c>
      <c r="C501">
        <f>'Shipment Data for Provisioning'!D506</f>
        <v>0</v>
      </c>
      <c r="D501">
        <f>'Shipment Data for Provisioning'!E506</f>
        <v>0</v>
      </c>
      <c r="E501">
        <f>'Shipment Data for Provisioning'!F506</f>
        <v>0</v>
      </c>
      <c r="F501">
        <f>'Shipment Data for Provisioning'!G506</f>
        <v>0</v>
      </c>
      <c r="G501">
        <f>'Shipment Data for Provisioning'!H506</f>
        <v>0</v>
      </c>
      <c r="H501">
        <f>'Shipment Data for Provisioning'!I506</f>
        <v>0</v>
      </c>
      <c r="I501" t="e">
        <f>VLOOKUP(B501,'Location Data'!$C$5:$G$1004,4,FALSE)</f>
        <v>#N/A</v>
      </c>
      <c r="J501" t="e">
        <f>VLOOKUP(B501,'Location Data'!$C$5:$G$1004,5,FALSE)</f>
        <v>#N/A</v>
      </c>
      <c r="K501" t="e">
        <f>VLOOKUP(C501,'Location Data'!$C$5:$G$1004,4,FALSE)</f>
        <v>#N/A</v>
      </c>
      <c r="L501" t="e">
        <f>VLOOKUP(C501,'Location Data'!$C$5:$G$1004,5,FALSE)</f>
        <v>#N/A</v>
      </c>
    </row>
    <row r="502" spans="1:12" x14ac:dyDescent="0.2">
      <c r="A502">
        <f>'Shipment Data for Provisioning'!B507</f>
        <v>0</v>
      </c>
      <c r="B502">
        <f>'Shipment Data for Provisioning'!C507</f>
        <v>0</v>
      </c>
      <c r="C502">
        <f>'Shipment Data for Provisioning'!D507</f>
        <v>0</v>
      </c>
      <c r="D502">
        <f>'Shipment Data for Provisioning'!E507</f>
        <v>0</v>
      </c>
      <c r="E502">
        <f>'Shipment Data for Provisioning'!F507</f>
        <v>0</v>
      </c>
      <c r="F502">
        <f>'Shipment Data for Provisioning'!G507</f>
        <v>0</v>
      </c>
      <c r="G502">
        <f>'Shipment Data for Provisioning'!H507</f>
        <v>0</v>
      </c>
      <c r="H502">
        <f>'Shipment Data for Provisioning'!I507</f>
        <v>0</v>
      </c>
      <c r="I502" t="e">
        <f>VLOOKUP(B502,'Location Data'!$C$5:$G$1004,4,FALSE)</f>
        <v>#N/A</v>
      </c>
      <c r="J502" t="e">
        <f>VLOOKUP(B502,'Location Data'!$C$5:$G$1004,5,FALSE)</f>
        <v>#N/A</v>
      </c>
      <c r="K502" t="e">
        <f>VLOOKUP(C502,'Location Data'!$C$5:$G$1004,4,FALSE)</f>
        <v>#N/A</v>
      </c>
      <c r="L502" t="e">
        <f>VLOOKUP(C502,'Location Data'!$C$5:$G$1004,5,FALSE)</f>
        <v>#N/A</v>
      </c>
    </row>
    <row r="503" spans="1:12" x14ac:dyDescent="0.2">
      <c r="A503">
        <f>'Shipment Data for Provisioning'!B508</f>
        <v>0</v>
      </c>
      <c r="B503">
        <f>'Shipment Data for Provisioning'!C508</f>
        <v>0</v>
      </c>
      <c r="C503">
        <f>'Shipment Data for Provisioning'!D508</f>
        <v>0</v>
      </c>
      <c r="D503">
        <f>'Shipment Data for Provisioning'!E508</f>
        <v>0</v>
      </c>
      <c r="E503">
        <f>'Shipment Data for Provisioning'!F508</f>
        <v>0</v>
      </c>
      <c r="F503">
        <f>'Shipment Data for Provisioning'!G508</f>
        <v>0</v>
      </c>
      <c r="G503">
        <f>'Shipment Data for Provisioning'!H508</f>
        <v>0</v>
      </c>
      <c r="H503">
        <f>'Shipment Data for Provisioning'!I508</f>
        <v>0</v>
      </c>
      <c r="I503" t="e">
        <f>VLOOKUP(B503,'Location Data'!$C$5:$G$1004,4,FALSE)</f>
        <v>#N/A</v>
      </c>
      <c r="J503" t="e">
        <f>VLOOKUP(B503,'Location Data'!$C$5:$G$1004,5,FALSE)</f>
        <v>#N/A</v>
      </c>
      <c r="K503" t="e">
        <f>VLOOKUP(C503,'Location Data'!$C$5:$G$1004,4,FALSE)</f>
        <v>#N/A</v>
      </c>
      <c r="L503" t="e">
        <f>VLOOKUP(C503,'Location Data'!$C$5:$G$1004,5,FALSE)</f>
        <v>#N/A</v>
      </c>
    </row>
    <row r="504" spans="1:12" x14ac:dyDescent="0.2">
      <c r="A504">
        <f>'Shipment Data for Provisioning'!B509</f>
        <v>0</v>
      </c>
      <c r="B504">
        <f>'Shipment Data for Provisioning'!C509</f>
        <v>0</v>
      </c>
      <c r="C504">
        <f>'Shipment Data for Provisioning'!D509</f>
        <v>0</v>
      </c>
      <c r="D504">
        <f>'Shipment Data for Provisioning'!E509</f>
        <v>0</v>
      </c>
      <c r="E504">
        <f>'Shipment Data for Provisioning'!F509</f>
        <v>0</v>
      </c>
      <c r="F504">
        <f>'Shipment Data for Provisioning'!G509</f>
        <v>0</v>
      </c>
      <c r="G504">
        <f>'Shipment Data for Provisioning'!H509</f>
        <v>0</v>
      </c>
      <c r="H504">
        <f>'Shipment Data for Provisioning'!I509</f>
        <v>0</v>
      </c>
      <c r="I504" t="e">
        <f>VLOOKUP(B504,'Location Data'!$C$5:$G$1004,4,FALSE)</f>
        <v>#N/A</v>
      </c>
      <c r="J504" t="e">
        <f>VLOOKUP(B504,'Location Data'!$C$5:$G$1004,5,FALSE)</f>
        <v>#N/A</v>
      </c>
      <c r="K504" t="e">
        <f>VLOOKUP(C504,'Location Data'!$C$5:$G$1004,4,FALSE)</f>
        <v>#N/A</v>
      </c>
      <c r="L504" t="e">
        <f>VLOOKUP(C504,'Location Data'!$C$5:$G$1004,5,FALSE)</f>
        <v>#N/A</v>
      </c>
    </row>
    <row r="505" spans="1:12" x14ac:dyDescent="0.2">
      <c r="A505">
        <f>'Shipment Data for Provisioning'!B510</f>
        <v>0</v>
      </c>
      <c r="B505">
        <f>'Shipment Data for Provisioning'!C510</f>
        <v>0</v>
      </c>
      <c r="C505">
        <f>'Shipment Data for Provisioning'!D510</f>
        <v>0</v>
      </c>
      <c r="D505">
        <f>'Shipment Data for Provisioning'!E510</f>
        <v>0</v>
      </c>
      <c r="E505">
        <f>'Shipment Data for Provisioning'!F510</f>
        <v>0</v>
      </c>
      <c r="F505">
        <f>'Shipment Data for Provisioning'!G510</f>
        <v>0</v>
      </c>
      <c r="G505">
        <f>'Shipment Data for Provisioning'!H510</f>
        <v>0</v>
      </c>
      <c r="H505">
        <f>'Shipment Data for Provisioning'!I510</f>
        <v>0</v>
      </c>
      <c r="I505" t="e">
        <f>VLOOKUP(B505,'Location Data'!$C$5:$G$1004,4,FALSE)</f>
        <v>#N/A</v>
      </c>
      <c r="J505" t="e">
        <f>VLOOKUP(B505,'Location Data'!$C$5:$G$1004,5,FALSE)</f>
        <v>#N/A</v>
      </c>
      <c r="K505" t="e">
        <f>VLOOKUP(C505,'Location Data'!$C$5:$G$1004,4,FALSE)</f>
        <v>#N/A</v>
      </c>
      <c r="L505" t="e">
        <f>VLOOKUP(C505,'Location Data'!$C$5:$G$1004,5,FALSE)</f>
        <v>#N/A</v>
      </c>
    </row>
    <row r="506" spans="1:12" x14ac:dyDescent="0.2">
      <c r="A506">
        <f>'Shipment Data for Provisioning'!B511</f>
        <v>0</v>
      </c>
      <c r="B506">
        <f>'Shipment Data for Provisioning'!C511</f>
        <v>0</v>
      </c>
      <c r="C506">
        <f>'Shipment Data for Provisioning'!D511</f>
        <v>0</v>
      </c>
      <c r="D506">
        <f>'Shipment Data for Provisioning'!E511</f>
        <v>0</v>
      </c>
      <c r="E506">
        <f>'Shipment Data for Provisioning'!F511</f>
        <v>0</v>
      </c>
      <c r="F506">
        <f>'Shipment Data for Provisioning'!G511</f>
        <v>0</v>
      </c>
      <c r="G506">
        <f>'Shipment Data for Provisioning'!H511</f>
        <v>0</v>
      </c>
      <c r="H506">
        <f>'Shipment Data for Provisioning'!I511</f>
        <v>0</v>
      </c>
      <c r="I506" t="e">
        <f>VLOOKUP(B506,'Location Data'!$C$5:$G$1004,4,FALSE)</f>
        <v>#N/A</v>
      </c>
      <c r="J506" t="e">
        <f>VLOOKUP(B506,'Location Data'!$C$5:$G$1004,5,FALSE)</f>
        <v>#N/A</v>
      </c>
      <c r="K506" t="e">
        <f>VLOOKUP(C506,'Location Data'!$C$5:$G$1004,4,FALSE)</f>
        <v>#N/A</v>
      </c>
      <c r="L506" t="e">
        <f>VLOOKUP(C506,'Location Data'!$C$5:$G$1004,5,FALSE)</f>
        <v>#N/A</v>
      </c>
    </row>
    <row r="507" spans="1:12" x14ac:dyDescent="0.2">
      <c r="A507">
        <f>'Shipment Data for Provisioning'!B512</f>
        <v>0</v>
      </c>
      <c r="B507">
        <f>'Shipment Data for Provisioning'!C512</f>
        <v>0</v>
      </c>
      <c r="C507">
        <f>'Shipment Data for Provisioning'!D512</f>
        <v>0</v>
      </c>
      <c r="D507">
        <f>'Shipment Data for Provisioning'!E512</f>
        <v>0</v>
      </c>
      <c r="E507">
        <f>'Shipment Data for Provisioning'!F512</f>
        <v>0</v>
      </c>
      <c r="F507">
        <f>'Shipment Data for Provisioning'!G512</f>
        <v>0</v>
      </c>
      <c r="G507">
        <f>'Shipment Data for Provisioning'!H512</f>
        <v>0</v>
      </c>
      <c r="H507">
        <f>'Shipment Data for Provisioning'!I512</f>
        <v>0</v>
      </c>
      <c r="I507" t="e">
        <f>VLOOKUP(B507,'Location Data'!$C$5:$G$1004,4,FALSE)</f>
        <v>#N/A</v>
      </c>
      <c r="J507" t="e">
        <f>VLOOKUP(B507,'Location Data'!$C$5:$G$1004,5,FALSE)</f>
        <v>#N/A</v>
      </c>
      <c r="K507" t="e">
        <f>VLOOKUP(C507,'Location Data'!$C$5:$G$1004,4,FALSE)</f>
        <v>#N/A</v>
      </c>
      <c r="L507" t="e">
        <f>VLOOKUP(C507,'Location Data'!$C$5:$G$1004,5,FALSE)</f>
        <v>#N/A</v>
      </c>
    </row>
    <row r="508" spans="1:12" x14ac:dyDescent="0.2">
      <c r="A508">
        <f>'Shipment Data for Provisioning'!B513</f>
        <v>0</v>
      </c>
      <c r="B508">
        <f>'Shipment Data for Provisioning'!C513</f>
        <v>0</v>
      </c>
      <c r="C508">
        <f>'Shipment Data for Provisioning'!D513</f>
        <v>0</v>
      </c>
      <c r="D508">
        <f>'Shipment Data for Provisioning'!E513</f>
        <v>0</v>
      </c>
      <c r="E508">
        <f>'Shipment Data for Provisioning'!F513</f>
        <v>0</v>
      </c>
      <c r="F508">
        <f>'Shipment Data for Provisioning'!G513</f>
        <v>0</v>
      </c>
      <c r="G508">
        <f>'Shipment Data for Provisioning'!H513</f>
        <v>0</v>
      </c>
      <c r="H508">
        <f>'Shipment Data for Provisioning'!I513</f>
        <v>0</v>
      </c>
      <c r="I508" t="e">
        <f>VLOOKUP(B508,'Location Data'!$C$5:$G$1004,4,FALSE)</f>
        <v>#N/A</v>
      </c>
      <c r="J508" t="e">
        <f>VLOOKUP(B508,'Location Data'!$C$5:$G$1004,5,FALSE)</f>
        <v>#N/A</v>
      </c>
      <c r="K508" t="e">
        <f>VLOOKUP(C508,'Location Data'!$C$5:$G$1004,4,FALSE)</f>
        <v>#N/A</v>
      </c>
      <c r="L508" t="e">
        <f>VLOOKUP(C508,'Location Data'!$C$5:$G$1004,5,FALSE)</f>
        <v>#N/A</v>
      </c>
    </row>
    <row r="509" spans="1:12" x14ac:dyDescent="0.2">
      <c r="A509">
        <f>'Shipment Data for Provisioning'!B514</f>
        <v>0</v>
      </c>
      <c r="B509">
        <f>'Shipment Data for Provisioning'!C514</f>
        <v>0</v>
      </c>
      <c r="C509">
        <f>'Shipment Data for Provisioning'!D514</f>
        <v>0</v>
      </c>
      <c r="D509">
        <f>'Shipment Data for Provisioning'!E514</f>
        <v>0</v>
      </c>
      <c r="E509">
        <f>'Shipment Data for Provisioning'!F514</f>
        <v>0</v>
      </c>
      <c r="F509">
        <f>'Shipment Data for Provisioning'!G514</f>
        <v>0</v>
      </c>
      <c r="G509">
        <f>'Shipment Data for Provisioning'!H514</f>
        <v>0</v>
      </c>
      <c r="H509">
        <f>'Shipment Data for Provisioning'!I514</f>
        <v>0</v>
      </c>
      <c r="I509" t="e">
        <f>VLOOKUP(B509,'Location Data'!$C$5:$G$1004,4,FALSE)</f>
        <v>#N/A</v>
      </c>
      <c r="J509" t="e">
        <f>VLOOKUP(B509,'Location Data'!$C$5:$G$1004,5,FALSE)</f>
        <v>#N/A</v>
      </c>
      <c r="K509" t="e">
        <f>VLOOKUP(C509,'Location Data'!$C$5:$G$1004,4,FALSE)</f>
        <v>#N/A</v>
      </c>
      <c r="L509" t="e">
        <f>VLOOKUP(C509,'Location Data'!$C$5:$G$1004,5,FALSE)</f>
        <v>#N/A</v>
      </c>
    </row>
    <row r="510" spans="1:12" x14ac:dyDescent="0.2">
      <c r="A510">
        <f>'Shipment Data for Provisioning'!B515</f>
        <v>0</v>
      </c>
      <c r="B510">
        <f>'Shipment Data for Provisioning'!C515</f>
        <v>0</v>
      </c>
      <c r="C510">
        <f>'Shipment Data for Provisioning'!D515</f>
        <v>0</v>
      </c>
      <c r="D510">
        <f>'Shipment Data for Provisioning'!E515</f>
        <v>0</v>
      </c>
      <c r="E510">
        <f>'Shipment Data for Provisioning'!F515</f>
        <v>0</v>
      </c>
      <c r="F510">
        <f>'Shipment Data for Provisioning'!G515</f>
        <v>0</v>
      </c>
      <c r="G510">
        <f>'Shipment Data for Provisioning'!H515</f>
        <v>0</v>
      </c>
      <c r="H510">
        <f>'Shipment Data for Provisioning'!I515</f>
        <v>0</v>
      </c>
      <c r="I510" t="e">
        <f>VLOOKUP(B510,'Location Data'!$C$5:$G$1004,4,FALSE)</f>
        <v>#N/A</v>
      </c>
      <c r="J510" t="e">
        <f>VLOOKUP(B510,'Location Data'!$C$5:$G$1004,5,FALSE)</f>
        <v>#N/A</v>
      </c>
      <c r="K510" t="e">
        <f>VLOOKUP(C510,'Location Data'!$C$5:$G$1004,4,FALSE)</f>
        <v>#N/A</v>
      </c>
      <c r="L510" t="e">
        <f>VLOOKUP(C510,'Location Data'!$C$5:$G$1004,5,FALSE)</f>
        <v>#N/A</v>
      </c>
    </row>
    <row r="511" spans="1:12" x14ac:dyDescent="0.2">
      <c r="A511">
        <f>'Shipment Data for Provisioning'!B516</f>
        <v>0</v>
      </c>
      <c r="B511">
        <f>'Shipment Data for Provisioning'!C516</f>
        <v>0</v>
      </c>
      <c r="C511">
        <f>'Shipment Data for Provisioning'!D516</f>
        <v>0</v>
      </c>
      <c r="D511">
        <f>'Shipment Data for Provisioning'!E516</f>
        <v>0</v>
      </c>
      <c r="E511">
        <f>'Shipment Data for Provisioning'!F516</f>
        <v>0</v>
      </c>
      <c r="F511">
        <f>'Shipment Data for Provisioning'!G516</f>
        <v>0</v>
      </c>
      <c r="G511">
        <f>'Shipment Data for Provisioning'!H516</f>
        <v>0</v>
      </c>
      <c r="H511">
        <f>'Shipment Data for Provisioning'!I516</f>
        <v>0</v>
      </c>
      <c r="I511" t="e">
        <f>VLOOKUP(B511,'Location Data'!$C$5:$G$1004,4,FALSE)</f>
        <v>#N/A</v>
      </c>
      <c r="J511" t="e">
        <f>VLOOKUP(B511,'Location Data'!$C$5:$G$1004,5,FALSE)</f>
        <v>#N/A</v>
      </c>
      <c r="K511" t="e">
        <f>VLOOKUP(C511,'Location Data'!$C$5:$G$1004,4,FALSE)</f>
        <v>#N/A</v>
      </c>
      <c r="L511" t="e">
        <f>VLOOKUP(C511,'Location Data'!$C$5:$G$1004,5,FALSE)</f>
        <v>#N/A</v>
      </c>
    </row>
    <row r="512" spans="1:12" x14ac:dyDescent="0.2">
      <c r="A512">
        <f>'Shipment Data for Provisioning'!B517</f>
        <v>0</v>
      </c>
      <c r="B512">
        <f>'Shipment Data for Provisioning'!C517</f>
        <v>0</v>
      </c>
      <c r="C512">
        <f>'Shipment Data for Provisioning'!D517</f>
        <v>0</v>
      </c>
      <c r="D512">
        <f>'Shipment Data for Provisioning'!E517</f>
        <v>0</v>
      </c>
      <c r="E512">
        <f>'Shipment Data for Provisioning'!F517</f>
        <v>0</v>
      </c>
      <c r="F512">
        <f>'Shipment Data for Provisioning'!G517</f>
        <v>0</v>
      </c>
      <c r="G512">
        <f>'Shipment Data for Provisioning'!H517</f>
        <v>0</v>
      </c>
      <c r="H512">
        <f>'Shipment Data for Provisioning'!I517</f>
        <v>0</v>
      </c>
      <c r="I512" t="e">
        <f>VLOOKUP(B512,'Location Data'!$C$5:$G$1004,4,FALSE)</f>
        <v>#N/A</v>
      </c>
      <c r="J512" t="e">
        <f>VLOOKUP(B512,'Location Data'!$C$5:$G$1004,5,FALSE)</f>
        <v>#N/A</v>
      </c>
      <c r="K512" t="e">
        <f>VLOOKUP(C512,'Location Data'!$C$5:$G$1004,4,FALSE)</f>
        <v>#N/A</v>
      </c>
      <c r="L512" t="e">
        <f>VLOOKUP(C512,'Location Data'!$C$5:$G$1004,5,FALSE)</f>
        <v>#N/A</v>
      </c>
    </row>
    <row r="513" spans="1:12" x14ac:dyDescent="0.2">
      <c r="A513">
        <f>'Shipment Data for Provisioning'!B518</f>
        <v>0</v>
      </c>
      <c r="B513">
        <f>'Shipment Data for Provisioning'!C518</f>
        <v>0</v>
      </c>
      <c r="C513">
        <f>'Shipment Data for Provisioning'!D518</f>
        <v>0</v>
      </c>
      <c r="D513">
        <f>'Shipment Data for Provisioning'!E518</f>
        <v>0</v>
      </c>
      <c r="E513">
        <f>'Shipment Data for Provisioning'!F518</f>
        <v>0</v>
      </c>
      <c r="F513">
        <f>'Shipment Data for Provisioning'!G518</f>
        <v>0</v>
      </c>
      <c r="G513">
        <f>'Shipment Data for Provisioning'!H518</f>
        <v>0</v>
      </c>
      <c r="H513">
        <f>'Shipment Data for Provisioning'!I518</f>
        <v>0</v>
      </c>
      <c r="I513" t="e">
        <f>VLOOKUP(B513,'Location Data'!$C$5:$G$1004,4,FALSE)</f>
        <v>#N/A</v>
      </c>
      <c r="J513" t="e">
        <f>VLOOKUP(B513,'Location Data'!$C$5:$G$1004,5,FALSE)</f>
        <v>#N/A</v>
      </c>
      <c r="K513" t="e">
        <f>VLOOKUP(C513,'Location Data'!$C$5:$G$1004,4,FALSE)</f>
        <v>#N/A</v>
      </c>
      <c r="L513" t="e">
        <f>VLOOKUP(C513,'Location Data'!$C$5:$G$1004,5,FALSE)</f>
        <v>#N/A</v>
      </c>
    </row>
    <row r="514" spans="1:12" x14ac:dyDescent="0.2">
      <c r="A514">
        <f>'Shipment Data for Provisioning'!B519</f>
        <v>0</v>
      </c>
      <c r="B514">
        <f>'Shipment Data for Provisioning'!C519</f>
        <v>0</v>
      </c>
      <c r="C514">
        <f>'Shipment Data for Provisioning'!D519</f>
        <v>0</v>
      </c>
      <c r="D514">
        <f>'Shipment Data for Provisioning'!E519</f>
        <v>0</v>
      </c>
      <c r="E514">
        <f>'Shipment Data for Provisioning'!F519</f>
        <v>0</v>
      </c>
      <c r="F514">
        <f>'Shipment Data for Provisioning'!G519</f>
        <v>0</v>
      </c>
      <c r="G514">
        <f>'Shipment Data for Provisioning'!H519</f>
        <v>0</v>
      </c>
      <c r="H514">
        <f>'Shipment Data for Provisioning'!I519</f>
        <v>0</v>
      </c>
      <c r="I514" t="e">
        <f>VLOOKUP(B514,'Location Data'!$C$5:$G$1004,4,FALSE)</f>
        <v>#N/A</v>
      </c>
      <c r="J514" t="e">
        <f>VLOOKUP(B514,'Location Data'!$C$5:$G$1004,5,FALSE)</f>
        <v>#N/A</v>
      </c>
      <c r="K514" t="e">
        <f>VLOOKUP(C514,'Location Data'!$C$5:$G$1004,4,FALSE)</f>
        <v>#N/A</v>
      </c>
      <c r="L514" t="e">
        <f>VLOOKUP(C514,'Location Data'!$C$5:$G$1004,5,FALSE)</f>
        <v>#N/A</v>
      </c>
    </row>
    <row r="515" spans="1:12" x14ac:dyDescent="0.2">
      <c r="A515">
        <f>'Shipment Data for Provisioning'!B520</f>
        <v>0</v>
      </c>
      <c r="B515">
        <f>'Shipment Data for Provisioning'!C520</f>
        <v>0</v>
      </c>
      <c r="C515">
        <f>'Shipment Data for Provisioning'!D520</f>
        <v>0</v>
      </c>
      <c r="D515">
        <f>'Shipment Data for Provisioning'!E520</f>
        <v>0</v>
      </c>
      <c r="E515">
        <f>'Shipment Data for Provisioning'!F520</f>
        <v>0</v>
      </c>
      <c r="F515">
        <f>'Shipment Data for Provisioning'!G520</f>
        <v>0</v>
      </c>
      <c r="G515">
        <f>'Shipment Data for Provisioning'!H520</f>
        <v>0</v>
      </c>
      <c r="H515">
        <f>'Shipment Data for Provisioning'!I520</f>
        <v>0</v>
      </c>
      <c r="I515" t="e">
        <f>VLOOKUP(B515,'Location Data'!$C$5:$G$1004,4,FALSE)</f>
        <v>#N/A</v>
      </c>
      <c r="J515" t="e">
        <f>VLOOKUP(B515,'Location Data'!$C$5:$G$1004,5,FALSE)</f>
        <v>#N/A</v>
      </c>
      <c r="K515" t="e">
        <f>VLOOKUP(C515,'Location Data'!$C$5:$G$1004,4,FALSE)</f>
        <v>#N/A</v>
      </c>
      <c r="L515" t="e">
        <f>VLOOKUP(C515,'Location Data'!$C$5:$G$1004,5,FALSE)</f>
        <v>#N/A</v>
      </c>
    </row>
    <row r="516" spans="1:12" x14ac:dyDescent="0.2">
      <c r="A516">
        <f>'Shipment Data for Provisioning'!B521</f>
        <v>0</v>
      </c>
      <c r="B516">
        <f>'Shipment Data for Provisioning'!C521</f>
        <v>0</v>
      </c>
      <c r="C516">
        <f>'Shipment Data for Provisioning'!D521</f>
        <v>0</v>
      </c>
      <c r="D516">
        <f>'Shipment Data for Provisioning'!E521</f>
        <v>0</v>
      </c>
      <c r="E516">
        <f>'Shipment Data for Provisioning'!F521</f>
        <v>0</v>
      </c>
      <c r="F516">
        <f>'Shipment Data for Provisioning'!G521</f>
        <v>0</v>
      </c>
      <c r="G516">
        <f>'Shipment Data for Provisioning'!H521</f>
        <v>0</v>
      </c>
      <c r="H516">
        <f>'Shipment Data for Provisioning'!I521</f>
        <v>0</v>
      </c>
      <c r="I516" t="e">
        <f>VLOOKUP(B516,'Location Data'!$C$5:$G$1004,4,FALSE)</f>
        <v>#N/A</v>
      </c>
      <c r="J516" t="e">
        <f>VLOOKUP(B516,'Location Data'!$C$5:$G$1004,5,FALSE)</f>
        <v>#N/A</v>
      </c>
      <c r="K516" t="e">
        <f>VLOOKUP(C516,'Location Data'!$C$5:$G$1004,4,FALSE)</f>
        <v>#N/A</v>
      </c>
      <c r="L516" t="e">
        <f>VLOOKUP(C516,'Location Data'!$C$5:$G$1004,5,FALSE)</f>
        <v>#N/A</v>
      </c>
    </row>
    <row r="517" spans="1:12" x14ac:dyDescent="0.2">
      <c r="A517">
        <f>'Shipment Data for Provisioning'!B522</f>
        <v>0</v>
      </c>
      <c r="B517">
        <f>'Shipment Data for Provisioning'!C522</f>
        <v>0</v>
      </c>
      <c r="C517">
        <f>'Shipment Data for Provisioning'!D522</f>
        <v>0</v>
      </c>
      <c r="D517">
        <f>'Shipment Data for Provisioning'!E522</f>
        <v>0</v>
      </c>
      <c r="E517">
        <f>'Shipment Data for Provisioning'!F522</f>
        <v>0</v>
      </c>
      <c r="F517">
        <f>'Shipment Data for Provisioning'!G522</f>
        <v>0</v>
      </c>
      <c r="G517">
        <f>'Shipment Data for Provisioning'!H522</f>
        <v>0</v>
      </c>
      <c r="H517">
        <f>'Shipment Data for Provisioning'!I522</f>
        <v>0</v>
      </c>
      <c r="I517" t="e">
        <f>VLOOKUP(B517,'Location Data'!$C$5:$G$1004,4,FALSE)</f>
        <v>#N/A</v>
      </c>
      <c r="J517" t="e">
        <f>VLOOKUP(B517,'Location Data'!$C$5:$G$1004,5,FALSE)</f>
        <v>#N/A</v>
      </c>
      <c r="K517" t="e">
        <f>VLOOKUP(C517,'Location Data'!$C$5:$G$1004,4,FALSE)</f>
        <v>#N/A</v>
      </c>
      <c r="L517" t="e">
        <f>VLOOKUP(C517,'Location Data'!$C$5:$G$1004,5,FALSE)</f>
        <v>#N/A</v>
      </c>
    </row>
    <row r="518" spans="1:12" x14ac:dyDescent="0.2">
      <c r="A518">
        <f>'Shipment Data for Provisioning'!B523</f>
        <v>0</v>
      </c>
      <c r="B518">
        <f>'Shipment Data for Provisioning'!C523</f>
        <v>0</v>
      </c>
      <c r="C518">
        <f>'Shipment Data for Provisioning'!D523</f>
        <v>0</v>
      </c>
      <c r="D518">
        <f>'Shipment Data for Provisioning'!E523</f>
        <v>0</v>
      </c>
      <c r="E518">
        <f>'Shipment Data for Provisioning'!F523</f>
        <v>0</v>
      </c>
      <c r="F518">
        <f>'Shipment Data for Provisioning'!G523</f>
        <v>0</v>
      </c>
      <c r="G518">
        <f>'Shipment Data for Provisioning'!H523</f>
        <v>0</v>
      </c>
      <c r="H518">
        <f>'Shipment Data for Provisioning'!I523</f>
        <v>0</v>
      </c>
      <c r="I518" t="e">
        <f>VLOOKUP(B518,'Location Data'!$C$5:$G$1004,4,FALSE)</f>
        <v>#N/A</v>
      </c>
      <c r="J518" t="e">
        <f>VLOOKUP(B518,'Location Data'!$C$5:$G$1004,5,FALSE)</f>
        <v>#N/A</v>
      </c>
      <c r="K518" t="e">
        <f>VLOOKUP(C518,'Location Data'!$C$5:$G$1004,4,FALSE)</f>
        <v>#N/A</v>
      </c>
      <c r="L518" t="e">
        <f>VLOOKUP(C518,'Location Data'!$C$5:$G$1004,5,FALSE)</f>
        <v>#N/A</v>
      </c>
    </row>
    <row r="519" spans="1:12" x14ac:dyDescent="0.2">
      <c r="A519">
        <f>'Shipment Data for Provisioning'!B524</f>
        <v>0</v>
      </c>
      <c r="B519">
        <f>'Shipment Data for Provisioning'!C524</f>
        <v>0</v>
      </c>
      <c r="C519">
        <f>'Shipment Data for Provisioning'!D524</f>
        <v>0</v>
      </c>
      <c r="D519">
        <f>'Shipment Data for Provisioning'!E524</f>
        <v>0</v>
      </c>
      <c r="E519">
        <f>'Shipment Data for Provisioning'!F524</f>
        <v>0</v>
      </c>
      <c r="F519">
        <f>'Shipment Data for Provisioning'!G524</f>
        <v>0</v>
      </c>
      <c r="G519">
        <f>'Shipment Data for Provisioning'!H524</f>
        <v>0</v>
      </c>
      <c r="H519">
        <f>'Shipment Data for Provisioning'!I524</f>
        <v>0</v>
      </c>
      <c r="I519" t="e">
        <f>VLOOKUP(B519,'Location Data'!$C$5:$G$1004,4,FALSE)</f>
        <v>#N/A</v>
      </c>
      <c r="J519" t="e">
        <f>VLOOKUP(B519,'Location Data'!$C$5:$G$1004,5,FALSE)</f>
        <v>#N/A</v>
      </c>
      <c r="K519" t="e">
        <f>VLOOKUP(C519,'Location Data'!$C$5:$G$1004,4,FALSE)</f>
        <v>#N/A</v>
      </c>
      <c r="L519" t="e">
        <f>VLOOKUP(C519,'Location Data'!$C$5:$G$1004,5,FALSE)</f>
        <v>#N/A</v>
      </c>
    </row>
    <row r="520" spans="1:12" x14ac:dyDescent="0.2">
      <c r="A520">
        <f>'Shipment Data for Provisioning'!B525</f>
        <v>0</v>
      </c>
      <c r="B520">
        <f>'Shipment Data for Provisioning'!C525</f>
        <v>0</v>
      </c>
      <c r="C520">
        <f>'Shipment Data for Provisioning'!D525</f>
        <v>0</v>
      </c>
      <c r="D520">
        <f>'Shipment Data for Provisioning'!E525</f>
        <v>0</v>
      </c>
      <c r="E520">
        <f>'Shipment Data for Provisioning'!F525</f>
        <v>0</v>
      </c>
      <c r="F520">
        <f>'Shipment Data for Provisioning'!G525</f>
        <v>0</v>
      </c>
      <c r="G520">
        <f>'Shipment Data for Provisioning'!H525</f>
        <v>0</v>
      </c>
      <c r="H520">
        <f>'Shipment Data for Provisioning'!I525</f>
        <v>0</v>
      </c>
      <c r="I520" t="e">
        <f>VLOOKUP(B520,'Location Data'!$C$5:$G$1004,4,FALSE)</f>
        <v>#N/A</v>
      </c>
      <c r="J520" t="e">
        <f>VLOOKUP(B520,'Location Data'!$C$5:$G$1004,5,FALSE)</f>
        <v>#N/A</v>
      </c>
      <c r="K520" t="e">
        <f>VLOOKUP(C520,'Location Data'!$C$5:$G$1004,4,FALSE)</f>
        <v>#N/A</v>
      </c>
      <c r="L520" t="e">
        <f>VLOOKUP(C520,'Location Data'!$C$5:$G$1004,5,FALSE)</f>
        <v>#N/A</v>
      </c>
    </row>
    <row r="521" spans="1:12" x14ac:dyDescent="0.2">
      <c r="A521">
        <f>'Shipment Data for Provisioning'!B526</f>
        <v>0</v>
      </c>
      <c r="B521">
        <f>'Shipment Data for Provisioning'!C526</f>
        <v>0</v>
      </c>
      <c r="C521">
        <f>'Shipment Data for Provisioning'!D526</f>
        <v>0</v>
      </c>
      <c r="D521">
        <f>'Shipment Data for Provisioning'!E526</f>
        <v>0</v>
      </c>
      <c r="E521">
        <f>'Shipment Data for Provisioning'!F526</f>
        <v>0</v>
      </c>
      <c r="F521">
        <f>'Shipment Data for Provisioning'!G526</f>
        <v>0</v>
      </c>
      <c r="G521">
        <f>'Shipment Data for Provisioning'!H526</f>
        <v>0</v>
      </c>
      <c r="H521">
        <f>'Shipment Data for Provisioning'!I526</f>
        <v>0</v>
      </c>
      <c r="I521" t="e">
        <f>VLOOKUP(B521,'Location Data'!$C$5:$G$1004,4,FALSE)</f>
        <v>#N/A</v>
      </c>
      <c r="J521" t="e">
        <f>VLOOKUP(B521,'Location Data'!$C$5:$G$1004,5,FALSE)</f>
        <v>#N/A</v>
      </c>
      <c r="K521" t="e">
        <f>VLOOKUP(C521,'Location Data'!$C$5:$G$1004,4,FALSE)</f>
        <v>#N/A</v>
      </c>
      <c r="L521" t="e">
        <f>VLOOKUP(C521,'Location Data'!$C$5:$G$1004,5,FALSE)</f>
        <v>#N/A</v>
      </c>
    </row>
    <row r="522" spans="1:12" x14ac:dyDescent="0.2">
      <c r="A522">
        <f>'Shipment Data for Provisioning'!B527</f>
        <v>0</v>
      </c>
      <c r="B522">
        <f>'Shipment Data for Provisioning'!C527</f>
        <v>0</v>
      </c>
      <c r="C522">
        <f>'Shipment Data for Provisioning'!D527</f>
        <v>0</v>
      </c>
      <c r="D522">
        <f>'Shipment Data for Provisioning'!E527</f>
        <v>0</v>
      </c>
      <c r="E522">
        <f>'Shipment Data for Provisioning'!F527</f>
        <v>0</v>
      </c>
      <c r="F522">
        <f>'Shipment Data for Provisioning'!G527</f>
        <v>0</v>
      </c>
      <c r="G522">
        <f>'Shipment Data for Provisioning'!H527</f>
        <v>0</v>
      </c>
      <c r="H522">
        <f>'Shipment Data for Provisioning'!I527</f>
        <v>0</v>
      </c>
      <c r="I522" t="e">
        <f>VLOOKUP(B522,'Location Data'!$C$5:$G$1004,4,FALSE)</f>
        <v>#N/A</v>
      </c>
      <c r="J522" t="e">
        <f>VLOOKUP(B522,'Location Data'!$C$5:$G$1004,5,FALSE)</f>
        <v>#N/A</v>
      </c>
      <c r="K522" t="e">
        <f>VLOOKUP(C522,'Location Data'!$C$5:$G$1004,4,FALSE)</f>
        <v>#N/A</v>
      </c>
      <c r="L522" t="e">
        <f>VLOOKUP(C522,'Location Data'!$C$5:$G$1004,5,FALSE)</f>
        <v>#N/A</v>
      </c>
    </row>
    <row r="523" spans="1:12" x14ac:dyDescent="0.2">
      <c r="A523">
        <f>'Shipment Data for Provisioning'!B528</f>
        <v>0</v>
      </c>
      <c r="B523">
        <f>'Shipment Data for Provisioning'!C528</f>
        <v>0</v>
      </c>
      <c r="C523">
        <f>'Shipment Data for Provisioning'!D528</f>
        <v>0</v>
      </c>
      <c r="D523">
        <f>'Shipment Data for Provisioning'!E528</f>
        <v>0</v>
      </c>
      <c r="E523">
        <f>'Shipment Data for Provisioning'!F528</f>
        <v>0</v>
      </c>
      <c r="F523">
        <f>'Shipment Data for Provisioning'!G528</f>
        <v>0</v>
      </c>
      <c r="G523">
        <f>'Shipment Data for Provisioning'!H528</f>
        <v>0</v>
      </c>
      <c r="H523">
        <f>'Shipment Data for Provisioning'!I528</f>
        <v>0</v>
      </c>
      <c r="I523" t="e">
        <f>VLOOKUP(B523,'Location Data'!$C$5:$G$1004,4,FALSE)</f>
        <v>#N/A</v>
      </c>
      <c r="J523" t="e">
        <f>VLOOKUP(B523,'Location Data'!$C$5:$G$1004,5,FALSE)</f>
        <v>#N/A</v>
      </c>
      <c r="K523" t="e">
        <f>VLOOKUP(C523,'Location Data'!$C$5:$G$1004,4,FALSE)</f>
        <v>#N/A</v>
      </c>
      <c r="L523" t="e">
        <f>VLOOKUP(C523,'Location Data'!$C$5:$G$1004,5,FALSE)</f>
        <v>#N/A</v>
      </c>
    </row>
    <row r="524" spans="1:12" x14ac:dyDescent="0.2">
      <c r="A524">
        <f>'Shipment Data for Provisioning'!B529</f>
        <v>0</v>
      </c>
      <c r="B524">
        <f>'Shipment Data for Provisioning'!C529</f>
        <v>0</v>
      </c>
      <c r="C524">
        <f>'Shipment Data for Provisioning'!D529</f>
        <v>0</v>
      </c>
      <c r="D524">
        <f>'Shipment Data for Provisioning'!E529</f>
        <v>0</v>
      </c>
      <c r="E524">
        <f>'Shipment Data for Provisioning'!F529</f>
        <v>0</v>
      </c>
      <c r="F524">
        <f>'Shipment Data for Provisioning'!G529</f>
        <v>0</v>
      </c>
      <c r="G524">
        <f>'Shipment Data for Provisioning'!H529</f>
        <v>0</v>
      </c>
      <c r="H524">
        <f>'Shipment Data for Provisioning'!I529</f>
        <v>0</v>
      </c>
      <c r="I524" t="e">
        <f>VLOOKUP(B524,'Location Data'!$C$5:$G$1004,4,FALSE)</f>
        <v>#N/A</v>
      </c>
      <c r="J524" t="e">
        <f>VLOOKUP(B524,'Location Data'!$C$5:$G$1004,5,FALSE)</f>
        <v>#N/A</v>
      </c>
      <c r="K524" t="e">
        <f>VLOOKUP(C524,'Location Data'!$C$5:$G$1004,4,FALSE)</f>
        <v>#N/A</v>
      </c>
      <c r="L524" t="e">
        <f>VLOOKUP(C524,'Location Data'!$C$5:$G$1004,5,FALSE)</f>
        <v>#N/A</v>
      </c>
    </row>
    <row r="525" spans="1:12" x14ac:dyDescent="0.2">
      <c r="A525">
        <f>'Shipment Data for Provisioning'!B530</f>
        <v>0</v>
      </c>
      <c r="B525">
        <f>'Shipment Data for Provisioning'!C530</f>
        <v>0</v>
      </c>
      <c r="C525">
        <f>'Shipment Data for Provisioning'!D530</f>
        <v>0</v>
      </c>
      <c r="D525">
        <f>'Shipment Data for Provisioning'!E530</f>
        <v>0</v>
      </c>
      <c r="E525">
        <f>'Shipment Data for Provisioning'!F530</f>
        <v>0</v>
      </c>
      <c r="F525">
        <f>'Shipment Data for Provisioning'!G530</f>
        <v>0</v>
      </c>
      <c r="G525">
        <f>'Shipment Data for Provisioning'!H530</f>
        <v>0</v>
      </c>
      <c r="H525">
        <f>'Shipment Data for Provisioning'!I530</f>
        <v>0</v>
      </c>
      <c r="I525" t="e">
        <f>VLOOKUP(B525,'Location Data'!$C$5:$G$1004,4,FALSE)</f>
        <v>#N/A</v>
      </c>
      <c r="J525" t="e">
        <f>VLOOKUP(B525,'Location Data'!$C$5:$G$1004,5,FALSE)</f>
        <v>#N/A</v>
      </c>
      <c r="K525" t="e">
        <f>VLOOKUP(C525,'Location Data'!$C$5:$G$1004,4,FALSE)</f>
        <v>#N/A</v>
      </c>
      <c r="L525" t="e">
        <f>VLOOKUP(C525,'Location Data'!$C$5:$G$1004,5,FALSE)</f>
        <v>#N/A</v>
      </c>
    </row>
    <row r="526" spans="1:12" x14ac:dyDescent="0.2">
      <c r="A526">
        <f>'Shipment Data for Provisioning'!B531</f>
        <v>0</v>
      </c>
      <c r="B526">
        <f>'Shipment Data for Provisioning'!C531</f>
        <v>0</v>
      </c>
      <c r="C526">
        <f>'Shipment Data for Provisioning'!D531</f>
        <v>0</v>
      </c>
      <c r="D526">
        <f>'Shipment Data for Provisioning'!E531</f>
        <v>0</v>
      </c>
      <c r="E526">
        <f>'Shipment Data for Provisioning'!F531</f>
        <v>0</v>
      </c>
      <c r="F526">
        <f>'Shipment Data for Provisioning'!G531</f>
        <v>0</v>
      </c>
      <c r="G526">
        <f>'Shipment Data for Provisioning'!H531</f>
        <v>0</v>
      </c>
      <c r="H526">
        <f>'Shipment Data for Provisioning'!I531</f>
        <v>0</v>
      </c>
      <c r="I526" t="e">
        <f>VLOOKUP(B526,'Location Data'!$C$5:$G$1004,4,FALSE)</f>
        <v>#N/A</v>
      </c>
      <c r="J526" t="e">
        <f>VLOOKUP(B526,'Location Data'!$C$5:$G$1004,5,FALSE)</f>
        <v>#N/A</v>
      </c>
      <c r="K526" t="e">
        <f>VLOOKUP(C526,'Location Data'!$C$5:$G$1004,4,FALSE)</f>
        <v>#N/A</v>
      </c>
      <c r="L526" t="e">
        <f>VLOOKUP(C526,'Location Data'!$C$5:$G$1004,5,FALSE)</f>
        <v>#N/A</v>
      </c>
    </row>
    <row r="527" spans="1:12" x14ac:dyDescent="0.2">
      <c r="A527">
        <f>'Shipment Data for Provisioning'!B532</f>
        <v>0</v>
      </c>
      <c r="B527">
        <f>'Shipment Data for Provisioning'!C532</f>
        <v>0</v>
      </c>
      <c r="C527">
        <f>'Shipment Data for Provisioning'!D532</f>
        <v>0</v>
      </c>
      <c r="D527">
        <f>'Shipment Data for Provisioning'!E532</f>
        <v>0</v>
      </c>
      <c r="E527">
        <f>'Shipment Data for Provisioning'!F532</f>
        <v>0</v>
      </c>
      <c r="F527">
        <f>'Shipment Data for Provisioning'!G532</f>
        <v>0</v>
      </c>
      <c r="G527">
        <f>'Shipment Data for Provisioning'!H532</f>
        <v>0</v>
      </c>
      <c r="H527">
        <f>'Shipment Data for Provisioning'!I532</f>
        <v>0</v>
      </c>
      <c r="I527" t="e">
        <f>VLOOKUP(B527,'Location Data'!$C$5:$G$1004,4,FALSE)</f>
        <v>#N/A</v>
      </c>
      <c r="J527" t="e">
        <f>VLOOKUP(B527,'Location Data'!$C$5:$G$1004,5,FALSE)</f>
        <v>#N/A</v>
      </c>
      <c r="K527" t="e">
        <f>VLOOKUP(C527,'Location Data'!$C$5:$G$1004,4,FALSE)</f>
        <v>#N/A</v>
      </c>
      <c r="L527" t="e">
        <f>VLOOKUP(C527,'Location Data'!$C$5:$G$1004,5,FALSE)</f>
        <v>#N/A</v>
      </c>
    </row>
    <row r="528" spans="1:12" x14ac:dyDescent="0.2">
      <c r="A528">
        <f>'Shipment Data for Provisioning'!B533</f>
        <v>0</v>
      </c>
      <c r="B528">
        <f>'Shipment Data for Provisioning'!C533</f>
        <v>0</v>
      </c>
      <c r="C528">
        <f>'Shipment Data for Provisioning'!D533</f>
        <v>0</v>
      </c>
      <c r="D528">
        <f>'Shipment Data for Provisioning'!E533</f>
        <v>0</v>
      </c>
      <c r="E528">
        <f>'Shipment Data for Provisioning'!F533</f>
        <v>0</v>
      </c>
      <c r="F528">
        <f>'Shipment Data for Provisioning'!G533</f>
        <v>0</v>
      </c>
      <c r="G528">
        <f>'Shipment Data for Provisioning'!H533</f>
        <v>0</v>
      </c>
      <c r="H528">
        <f>'Shipment Data for Provisioning'!I533</f>
        <v>0</v>
      </c>
      <c r="I528" t="e">
        <f>VLOOKUP(B528,'Location Data'!$C$5:$G$1004,4,FALSE)</f>
        <v>#N/A</v>
      </c>
      <c r="J528" t="e">
        <f>VLOOKUP(B528,'Location Data'!$C$5:$G$1004,5,FALSE)</f>
        <v>#N/A</v>
      </c>
      <c r="K528" t="e">
        <f>VLOOKUP(C528,'Location Data'!$C$5:$G$1004,4,FALSE)</f>
        <v>#N/A</v>
      </c>
      <c r="L528" t="e">
        <f>VLOOKUP(C528,'Location Data'!$C$5:$G$1004,5,FALSE)</f>
        <v>#N/A</v>
      </c>
    </row>
    <row r="529" spans="1:12" x14ac:dyDescent="0.2">
      <c r="A529">
        <f>'Shipment Data for Provisioning'!B534</f>
        <v>0</v>
      </c>
      <c r="B529">
        <f>'Shipment Data for Provisioning'!C534</f>
        <v>0</v>
      </c>
      <c r="C529">
        <f>'Shipment Data for Provisioning'!D534</f>
        <v>0</v>
      </c>
      <c r="D529">
        <f>'Shipment Data for Provisioning'!E534</f>
        <v>0</v>
      </c>
      <c r="E529">
        <f>'Shipment Data for Provisioning'!F534</f>
        <v>0</v>
      </c>
      <c r="F529">
        <f>'Shipment Data for Provisioning'!G534</f>
        <v>0</v>
      </c>
      <c r="G529">
        <f>'Shipment Data for Provisioning'!H534</f>
        <v>0</v>
      </c>
      <c r="H529">
        <f>'Shipment Data for Provisioning'!I534</f>
        <v>0</v>
      </c>
      <c r="I529" t="e">
        <f>VLOOKUP(B529,'Location Data'!$C$5:$G$1004,4,FALSE)</f>
        <v>#N/A</v>
      </c>
      <c r="J529" t="e">
        <f>VLOOKUP(B529,'Location Data'!$C$5:$G$1004,5,FALSE)</f>
        <v>#N/A</v>
      </c>
      <c r="K529" t="e">
        <f>VLOOKUP(C529,'Location Data'!$C$5:$G$1004,4,FALSE)</f>
        <v>#N/A</v>
      </c>
      <c r="L529" t="e">
        <f>VLOOKUP(C529,'Location Data'!$C$5:$G$1004,5,FALSE)</f>
        <v>#N/A</v>
      </c>
    </row>
    <row r="530" spans="1:12" x14ac:dyDescent="0.2">
      <c r="A530">
        <f>'Shipment Data for Provisioning'!B535</f>
        <v>0</v>
      </c>
      <c r="B530">
        <f>'Shipment Data for Provisioning'!C535</f>
        <v>0</v>
      </c>
      <c r="C530">
        <f>'Shipment Data for Provisioning'!D535</f>
        <v>0</v>
      </c>
      <c r="D530">
        <f>'Shipment Data for Provisioning'!E535</f>
        <v>0</v>
      </c>
      <c r="E530">
        <f>'Shipment Data for Provisioning'!F535</f>
        <v>0</v>
      </c>
      <c r="F530">
        <f>'Shipment Data for Provisioning'!G535</f>
        <v>0</v>
      </c>
      <c r="G530">
        <f>'Shipment Data for Provisioning'!H535</f>
        <v>0</v>
      </c>
      <c r="H530">
        <f>'Shipment Data for Provisioning'!I535</f>
        <v>0</v>
      </c>
      <c r="I530" t="e">
        <f>VLOOKUP(B530,'Location Data'!$C$5:$G$1004,4,FALSE)</f>
        <v>#N/A</v>
      </c>
      <c r="J530" t="e">
        <f>VLOOKUP(B530,'Location Data'!$C$5:$G$1004,5,FALSE)</f>
        <v>#N/A</v>
      </c>
      <c r="K530" t="e">
        <f>VLOOKUP(C530,'Location Data'!$C$5:$G$1004,4,FALSE)</f>
        <v>#N/A</v>
      </c>
      <c r="L530" t="e">
        <f>VLOOKUP(C530,'Location Data'!$C$5:$G$1004,5,FALSE)</f>
        <v>#N/A</v>
      </c>
    </row>
    <row r="531" spans="1:12" x14ac:dyDescent="0.2">
      <c r="A531">
        <f>'Shipment Data for Provisioning'!B536</f>
        <v>0</v>
      </c>
      <c r="B531">
        <f>'Shipment Data for Provisioning'!C536</f>
        <v>0</v>
      </c>
      <c r="C531">
        <f>'Shipment Data for Provisioning'!D536</f>
        <v>0</v>
      </c>
      <c r="D531">
        <f>'Shipment Data for Provisioning'!E536</f>
        <v>0</v>
      </c>
      <c r="E531">
        <f>'Shipment Data for Provisioning'!F536</f>
        <v>0</v>
      </c>
      <c r="F531">
        <f>'Shipment Data for Provisioning'!G536</f>
        <v>0</v>
      </c>
      <c r="G531">
        <f>'Shipment Data for Provisioning'!H536</f>
        <v>0</v>
      </c>
      <c r="H531">
        <f>'Shipment Data for Provisioning'!I536</f>
        <v>0</v>
      </c>
      <c r="I531" t="e">
        <f>VLOOKUP(B531,'Location Data'!$C$5:$G$1004,4,FALSE)</f>
        <v>#N/A</v>
      </c>
      <c r="J531" t="e">
        <f>VLOOKUP(B531,'Location Data'!$C$5:$G$1004,5,FALSE)</f>
        <v>#N/A</v>
      </c>
      <c r="K531" t="e">
        <f>VLOOKUP(C531,'Location Data'!$C$5:$G$1004,4,FALSE)</f>
        <v>#N/A</v>
      </c>
      <c r="L531" t="e">
        <f>VLOOKUP(C531,'Location Data'!$C$5:$G$1004,5,FALSE)</f>
        <v>#N/A</v>
      </c>
    </row>
    <row r="532" spans="1:12" x14ac:dyDescent="0.2">
      <c r="A532">
        <f>'Shipment Data for Provisioning'!B537</f>
        <v>0</v>
      </c>
      <c r="B532">
        <f>'Shipment Data for Provisioning'!C537</f>
        <v>0</v>
      </c>
      <c r="C532">
        <f>'Shipment Data for Provisioning'!D537</f>
        <v>0</v>
      </c>
      <c r="D532">
        <f>'Shipment Data for Provisioning'!E537</f>
        <v>0</v>
      </c>
      <c r="E532">
        <f>'Shipment Data for Provisioning'!F537</f>
        <v>0</v>
      </c>
      <c r="F532">
        <f>'Shipment Data for Provisioning'!G537</f>
        <v>0</v>
      </c>
      <c r="G532">
        <f>'Shipment Data for Provisioning'!H537</f>
        <v>0</v>
      </c>
      <c r="H532">
        <f>'Shipment Data for Provisioning'!I537</f>
        <v>0</v>
      </c>
      <c r="I532" t="e">
        <f>VLOOKUP(B532,'Location Data'!$C$5:$G$1004,4,FALSE)</f>
        <v>#N/A</v>
      </c>
      <c r="J532" t="e">
        <f>VLOOKUP(B532,'Location Data'!$C$5:$G$1004,5,FALSE)</f>
        <v>#N/A</v>
      </c>
      <c r="K532" t="e">
        <f>VLOOKUP(C532,'Location Data'!$C$5:$G$1004,4,FALSE)</f>
        <v>#N/A</v>
      </c>
      <c r="L532" t="e">
        <f>VLOOKUP(C532,'Location Data'!$C$5:$G$1004,5,FALSE)</f>
        <v>#N/A</v>
      </c>
    </row>
    <row r="533" spans="1:12" x14ac:dyDescent="0.2">
      <c r="A533">
        <f>'Shipment Data for Provisioning'!B538</f>
        <v>0</v>
      </c>
      <c r="B533">
        <f>'Shipment Data for Provisioning'!C538</f>
        <v>0</v>
      </c>
      <c r="C533">
        <f>'Shipment Data for Provisioning'!D538</f>
        <v>0</v>
      </c>
      <c r="D533">
        <f>'Shipment Data for Provisioning'!E538</f>
        <v>0</v>
      </c>
      <c r="E533">
        <f>'Shipment Data for Provisioning'!F538</f>
        <v>0</v>
      </c>
      <c r="F533">
        <f>'Shipment Data for Provisioning'!G538</f>
        <v>0</v>
      </c>
      <c r="G533">
        <f>'Shipment Data for Provisioning'!H538</f>
        <v>0</v>
      </c>
      <c r="H533">
        <f>'Shipment Data for Provisioning'!I538</f>
        <v>0</v>
      </c>
      <c r="I533" t="e">
        <f>VLOOKUP(B533,'Location Data'!$C$5:$G$1004,4,FALSE)</f>
        <v>#N/A</v>
      </c>
      <c r="J533" t="e">
        <f>VLOOKUP(B533,'Location Data'!$C$5:$G$1004,5,FALSE)</f>
        <v>#N/A</v>
      </c>
      <c r="K533" t="e">
        <f>VLOOKUP(C533,'Location Data'!$C$5:$G$1004,4,FALSE)</f>
        <v>#N/A</v>
      </c>
      <c r="L533" t="e">
        <f>VLOOKUP(C533,'Location Data'!$C$5:$G$1004,5,FALSE)</f>
        <v>#N/A</v>
      </c>
    </row>
    <row r="534" spans="1:12" x14ac:dyDescent="0.2">
      <c r="A534">
        <f>'Shipment Data for Provisioning'!B539</f>
        <v>0</v>
      </c>
      <c r="B534">
        <f>'Shipment Data for Provisioning'!C539</f>
        <v>0</v>
      </c>
      <c r="C534">
        <f>'Shipment Data for Provisioning'!D539</f>
        <v>0</v>
      </c>
      <c r="D534">
        <f>'Shipment Data for Provisioning'!E539</f>
        <v>0</v>
      </c>
      <c r="E534">
        <f>'Shipment Data for Provisioning'!F539</f>
        <v>0</v>
      </c>
      <c r="F534">
        <f>'Shipment Data for Provisioning'!G539</f>
        <v>0</v>
      </c>
      <c r="G534">
        <f>'Shipment Data for Provisioning'!H539</f>
        <v>0</v>
      </c>
      <c r="H534">
        <f>'Shipment Data for Provisioning'!I539</f>
        <v>0</v>
      </c>
      <c r="I534" t="e">
        <f>VLOOKUP(B534,'Location Data'!$C$5:$G$1004,4,FALSE)</f>
        <v>#N/A</v>
      </c>
      <c r="J534" t="e">
        <f>VLOOKUP(B534,'Location Data'!$C$5:$G$1004,5,FALSE)</f>
        <v>#N/A</v>
      </c>
      <c r="K534" t="e">
        <f>VLOOKUP(C534,'Location Data'!$C$5:$G$1004,4,FALSE)</f>
        <v>#N/A</v>
      </c>
      <c r="L534" t="e">
        <f>VLOOKUP(C534,'Location Data'!$C$5:$G$1004,5,FALSE)</f>
        <v>#N/A</v>
      </c>
    </row>
    <row r="535" spans="1:12" x14ac:dyDescent="0.2">
      <c r="A535">
        <f>'Shipment Data for Provisioning'!B540</f>
        <v>0</v>
      </c>
      <c r="B535">
        <f>'Shipment Data for Provisioning'!C540</f>
        <v>0</v>
      </c>
      <c r="C535">
        <f>'Shipment Data for Provisioning'!D540</f>
        <v>0</v>
      </c>
      <c r="D535">
        <f>'Shipment Data for Provisioning'!E540</f>
        <v>0</v>
      </c>
      <c r="E535">
        <f>'Shipment Data for Provisioning'!F540</f>
        <v>0</v>
      </c>
      <c r="F535">
        <f>'Shipment Data for Provisioning'!G540</f>
        <v>0</v>
      </c>
      <c r="G535">
        <f>'Shipment Data for Provisioning'!H540</f>
        <v>0</v>
      </c>
      <c r="H535">
        <f>'Shipment Data for Provisioning'!I540</f>
        <v>0</v>
      </c>
      <c r="I535" t="e">
        <f>VLOOKUP(B535,'Location Data'!$C$5:$G$1004,4,FALSE)</f>
        <v>#N/A</v>
      </c>
      <c r="J535" t="e">
        <f>VLOOKUP(B535,'Location Data'!$C$5:$G$1004,5,FALSE)</f>
        <v>#N/A</v>
      </c>
      <c r="K535" t="e">
        <f>VLOOKUP(C535,'Location Data'!$C$5:$G$1004,4,FALSE)</f>
        <v>#N/A</v>
      </c>
      <c r="L535" t="e">
        <f>VLOOKUP(C535,'Location Data'!$C$5:$G$1004,5,FALSE)</f>
        <v>#N/A</v>
      </c>
    </row>
    <row r="536" spans="1:12" x14ac:dyDescent="0.2">
      <c r="A536">
        <f>'Shipment Data for Provisioning'!B541</f>
        <v>0</v>
      </c>
      <c r="B536">
        <f>'Shipment Data for Provisioning'!C541</f>
        <v>0</v>
      </c>
      <c r="C536">
        <f>'Shipment Data for Provisioning'!D541</f>
        <v>0</v>
      </c>
      <c r="D536">
        <f>'Shipment Data for Provisioning'!E541</f>
        <v>0</v>
      </c>
      <c r="E536">
        <f>'Shipment Data for Provisioning'!F541</f>
        <v>0</v>
      </c>
      <c r="F536">
        <f>'Shipment Data for Provisioning'!G541</f>
        <v>0</v>
      </c>
      <c r="G536">
        <f>'Shipment Data for Provisioning'!H541</f>
        <v>0</v>
      </c>
      <c r="H536">
        <f>'Shipment Data for Provisioning'!I541</f>
        <v>0</v>
      </c>
      <c r="I536" t="e">
        <f>VLOOKUP(B536,'Location Data'!$C$5:$G$1004,4,FALSE)</f>
        <v>#N/A</v>
      </c>
      <c r="J536" t="e">
        <f>VLOOKUP(B536,'Location Data'!$C$5:$G$1004,5,FALSE)</f>
        <v>#N/A</v>
      </c>
      <c r="K536" t="e">
        <f>VLOOKUP(C536,'Location Data'!$C$5:$G$1004,4,FALSE)</f>
        <v>#N/A</v>
      </c>
      <c r="L536" t="e">
        <f>VLOOKUP(C536,'Location Data'!$C$5:$G$1004,5,FALSE)</f>
        <v>#N/A</v>
      </c>
    </row>
    <row r="537" spans="1:12" x14ac:dyDescent="0.2">
      <c r="A537">
        <f>'Shipment Data for Provisioning'!B542</f>
        <v>0</v>
      </c>
      <c r="B537">
        <f>'Shipment Data for Provisioning'!C542</f>
        <v>0</v>
      </c>
      <c r="C537">
        <f>'Shipment Data for Provisioning'!D542</f>
        <v>0</v>
      </c>
      <c r="D537">
        <f>'Shipment Data for Provisioning'!E542</f>
        <v>0</v>
      </c>
      <c r="E537">
        <f>'Shipment Data for Provisioning'!F542</f>
        <v>0</v>
      </c>
      <c r="F537">
        <f>'Shipment Data for Provisioning'!G542</f>
        <v>0</v>
      </c>
      <c r="G537">
        <f>'Shipment Data for Provisioning'!H542</f>
        <v>0</v>
      </c>
      <c r="H537">
        <f>'Shipment Data for Provisioning'!I542</f>
        <v>0</v>
      </c>
      <c r="I537" t="e">
        <f>VLOOKUP(B537,'Location Data'!$C$5:$G$1004,4,FALSE)</f>
        <v>#N/A</v>
      </c>
      <c r="J537" t="e">
        <f>VLOOKUP(B537,'Location Data'!$C$5:$G$1004,5,FALSE)</f>
        <v>#N/A</v>
      </c>
      <c r="K537" t="e">
        <f>VLOOKUP(C537,'Location Data'!$C$5:$G$1004,4,FALSE)</f>
        <v>#N/A</v>
      </c>
      <c r="L537" t="e">
        <f>VLOOKUP(C537,'Location Data'!$C$5:$G$1004,5,FALSE)</f>
        <v>#N/A</v>
      </c>
    </row>
    <row r="538" spans="1:12" x14ac:dyDescent="0.2">
      <c r="A538">
        <f>'Shipment Data for Provisioning'!B543</f>
        <v>0</v>
      </c>
      <c r="B538">
        <f>'Shipment Data for Provisioning'!C543</f>
        <v>0</v>
      </c>
      <c r="C538">
        <f>'Shipment Data for Provisioning'!D543</f>
        <v>0</v>
      </c>
      <c r="D538">
        <f>'Shipment Data for Provisioning'!E543</f>
        <v>0</v>
      </c>
      <c r="E538">
        <f>'Shipment Data for Provisioning'!F543</f>
        <v>0</v>
      </c>
      <c r="F538">
        <f>'Shipment Data for Provisioning'!G543</f>
        <v>0</v>
      </c>
      <c r="G538">
        <f>'Shipment Data for Provisioning'!H543</f>
        <v>0</v>
      </c>
      <c r="H538">
        <f>'Shipment Data for Provisioning'!I543</f>
        <v>0</v>
      </c>
      <c r="I538" t="e">
        <f>VLOOKUP(B538,'Location Data'!$C$5:$G$1004,4,FALSE)</f>
        <v>#N/A</v>
      </c>
      <c r="J538" t="e">
        <f>VLOOKUP(B538,'Location Data'!$C$5:$G$1004,5,FALSE)</f>
        <v>#N/A</v>
      </c>
      <c r="K538" t="e">
        <f>VLOOKUP(C538,'Location Data'!$C$5:$G$1004,4,FALSE)</f>
        <v>#N/A</v>
      </c>
      <c r="L538" t="e">
        <f>VLOOKUP(C538,'Location Data'!$C$5:$G$1004,5,FALSE)</f>
        <v>#N/A</v>
      </c>
    </row>
    <row r="539" spans="1:12" x14ac:dyDescent="0.2">
      <c r="A539">
        <f>'Shipment Data for Provisioning'!B544</f>
        <v>0</v>
      </c>
      <c r="B539">
        <f>'Shipment Data for Provisioning'!C544</f>
        <v>0</v>
      </c>
      <c r="C539">
        <f>'Shipment Data for Provisioning'!D544</f>
        <v>0</v>
      </c>
      <c r="D539">
        <f>'Shipment Data for Provisioning'!E544</f>
        <v>0</v>
      </c>
      <c r="E539">
        <f>'Shipment Data for Provisioning'!F544</f>
        <v>0</v>
      </c>
      <c r="F539">
        <f>'Shipment Data for Provisioning'!G544</f>
        <v>0</v>
      </c>
      <c r="G539">
        <f>'Shipment Data for Provisioning'!H544</f>
        <v>0</v>
      </c>
      <c r="H539">
        <f>'Shipment Data for Provisioning'!I544</f>
        <v>0</v>
      </c>
      <c r="I539" t="e">
        <f>VLOOKUP(B539,'Location Data'!$C$5:$G$1004,4,FALSE)</f>
        <v>#N/A</v>
      </c>
      <c r="J539" t="e">
        <f>VLOOKUP(B539,'Location Data'!$C$5:$G$1004,5,FALSE)</f>
        <v>#N/A</v>
      </c>
      <c r="K539" t="e">
        <f>VLOOKUP(C539,'Location Data'!$C$5:$G$1004,4,FALSE)</f>
        <v>#N/A</v>
      </c>
      <c r="L539" t="e">
        <f>VLOOKUP(C539,'Location Data'!$C$5:$G$1004,5,FALSE)</f>
        <v>#N/A</v>
      </c>
    </row>
    <row r="540" spans="1:12" x14ac:dyDescent="0.2">
      <c r="A540">
        <f>'Shipment Data for Provisioning'!B545</f>
        <v>0</v>
      </c>
      <c r="B540">
        <f>'Shipment Data for Provisioning'!C545</f>
        <v>0</v>
      </c>
      <c r="C540">
        <f>'Shipment Data for Provisioning'!D545</f>
        <v>0</v>
      </c>
      <c r="D540">
        <f>'Shipment Data for Provisioning'!E545</f>
        <v>0</v>
      </c>
      <c r="E540">
        <f>'Shipment Data for Provisioning'!F545</f>
        <v>0</v>
      </c>
      <c r="F540">
        <f>'Shipment Data for Provisioning'!G545</f>
        <v>0</v>
      </c>
      <c r="G540">
        <f>'Shipment Data for Provisioning'!H545</f>
        <v>0</v>
      </c>
      <c r="H540">
        <f>'Shipment Data for Provisioning'!I545</f>
        <v>0</v>
      </c>
      <c r="I540" t="e">
        <f>VLOOKUP(B540,'Location Data'!$C$5:$G$1004,4,FALSE)</f>
        <v>#N/A</v>
      </c>
      <c r="J540" t="e">
        <f>VLOOKUP(B540,'Location Data'!$C$5:$G$1004,5,FALSE)</f>
        <v>#N/A</v>
      </c>
      <c r="K540" t="e">
        <f>VLOOKUP(C540,'Location Data'!$C$5:$G$1004,4,FALSE)</f>
        <v>#N/A</v>
      </c>
      <c r="L540" t="e">
        <f>VLOOKUP(C540,'Location Data'!$C$5:$G$1004,5,FALSE)</f>
        <v>#N/A</v>
      </c>
    </row>
    <row r="541" spans="1:12" x14ac:dyDescent="0.2">
      <c r="A541">
        <f>'Shipment Data for Provisioning'!B546</f>
        <v>0</v>
      </c>
      <c r="B541">
        <f>'Shipment Data for Provisioning'!C546</f>
        <v>0</v>
      </c>
      <c r="C541">
        <f>'Shipment Data for Provisioning'!D546</f>
        <v>0</v>
      </c>
      <c r="D541">
        <f>'Shipment Data for Provisioning'!E546</f>
        <v>0</v>
      </c>
      <c r="E541">
        <f>'Shipment Data for Provisioning'!F546</f>
        <v>0</v>
      </c>
      <c r="F541">
        <f>'Shipment Data for Provisioning'!G546</f>
        <v>0</v>
      </c>
      <c r="G541">
        <f>'Shipment Data for Provisioning'!H546</f>
        <v>0</v>
      </c>
      <c r="H541">
        <f>'Shipment Data for Provisioning'!I546</f>
        <v>0</v>
      </c>
      <c r="I541" t="e">
        <f>VLOOKUP(B541,'Location Data'!$C$5:$G$1004,4,FALSE)</f>
        <v>#N/A</v>
      </c>
      <c r="J541" t="e">
        <f>VLOOKUP(B541,'Location Data'!$C$5:$G$1004,5,FALSE)</f>
        <v>#N/A</v>
      </c>
      <c r="K541" t="e">
        <f>VLOOKUP(C541,'Location Data'!$C$5:$G$1004,4,FALSE)</f>
        <v>#N/A</v>
      </c>
      <c r="L541" t="e">
        <f>VLOOKUP(C541,'Location Data'!$C$5:$G$1004,5,FALSE)</f>
        <v>#N/A</v>
      </c>
    </row>
    <row r="542" spans="1:12" x14ac:dyDescent="0.2">
      <c r="A542">
        <f>'Shipment Data for Provisioning'!B547</f>
        <v>0</v>
      </c>
      <c r="B542">
        <f>'Shipment Data for Provisioning'!C547</f>
        <v>0</v>
      </c>
      <c r="C542">
        <f>'Shipment Data for Provisioning'!D547</f>
        <v>0</v>
      </c>
      <c r="D542">
        <f>'Shipment Data for Provisioning'!E547</f>
        <v>0</v>
      </c>
      <c r="E542">
        <f>'Shipment Data for Provisioning'!F547</f>
        <v>0</v>
      </c>
      <c r="F542">
        <f>'Shipment Data for Provisioning'!G547</f>
        <v>0</v>
      </c>
      <c r="G542">
        <f>'Shipment Data for Provisioning'!H547</f>
        <v>0</v>
      </c>
      <c r="H542">
        <f>'Shipment Data for Provisioning'!I547</f>
        <v>0</v>
      </c>
      <c r="I542" t="e">
        <f>VLOOKUP(B542,'Location Data'!$C$5:$G$1004,4,FALSE)</f>
        <v>#N/A</v>
      </c>
      <c r="J542" t="e">
        <f>VLOOKUP(B542,'Location Data'!$C$5:$G$1004,5,FALSE)</f>
        <v>#N/A</v>
      </c>
      <c r="K542" t="e">
        <f>VLOOKUP(C542,'Location Data'!$C$5:$G$1004,4,FALSE)</f>
        <v>#N/A</v>
      </c>
      <c r="L542" t="e">
        <f>VLOOKUP(C542,'Location Data'!$C$5:$G$1004,5,FALSE)</f>
        <v>#N/A</v>
      </c>
    </row>
    <row r="543" spans="1:12" x14ac:dyDescent="0.2">
      <c r="A543">
        <f>'Shipment Data for Provisioning'!B548</f>
        <v>0</v>
      </c>
      <c r="B543">
        <f>'Shipment Data for Provisioning'!C548</f>
        <v>0</v>
      </c>
      <c r="C543">
        <f>'Shipment Data for Provisioning'!D548</f>
        <v>0</v>
      </c>
      <c r="D543">
        <f>'Shipment Data for Provisioning'!E548</f>
        <v>0</v>
      </c>
      <c r="E543">
        <f>'Shipment Data for Provisioning'!F548</f>
        <v>0</v>
      </c>
      <c r="F543">
        <f>'Shipment Data for Provisioning'!G548</f>
        <v>0</v>
      </c>
      <c r="G543">
        <f>'Shipment Data for Provisioning'!H548</f>
        <v>0</v>
      </c>
      <c r="H543">
        <f>'Shipment Data for Provisioning'!I548</f>
        <v>0</v>
      </c>
      <c r="I543" t="e">
        <f>VLOOKUP(B543,'Location Data'!$C$5:$G$1004,4,FALSE)</f>
        <v>#N/A</v>
      </c>
      <c r="J543" t="e">
        <f>VLOOKUP(B543,'Location Data'!$C$5:$G$1004,5,FALSE)</f>
        <v>#N/A</v>
      </c>
      <c r="K543" t="e">
        <f>VLOOKUP(C543,'Location Data'!$C$5:$G$1004,4,FALSE)</f>
        <v>#N/A</v>
      </c>
      <c r="L543" t="e">
        <f>VLOOKUP(C543,'Location Data'!$C$5:$G$1004,5,FALSE)</f>
        <v>#N/A</v>
      </c>
    </row>
    <row r="544" spans="1:12" x14ac:dyDescent="0.2">
      <c r="A544">
        <f>'Shipment Data for Provisioning'!B549</f>
        <v>0</v>
      </c>
      <c r="B544">
        <f>'Shipment Data for Provisioning'!C549</f>
        <v>0</v>
      </c>
      <c r="C544">
        <f>'Shipment Data for Provisioning'!D549</f>
        <v>0</v>
      </c>
      <c r="D544">
        <f>'Shipment Data for Provisioning'!E549</f>
        <v>0</v>
      </c>
      <c r="E544">
        <f>'Shipment Data for Provisioning'!F549</f>
        <v>0</v>
      </c>
      <c r="F544">
        <f>'Shipment Data for Provisioning'!G549</f>
        <v>0</v>
      </c>
      <c r="G544">
        <f>'Shipment Data for Provisioning'!H549</f>
        <v>0</v>
      </c>
      <c r="H544">
        <f>'Shipment Data for Provisioning'!I549</f>
        <v>0</v>
      </c>
      <c r="I544" t="e">
        <f>VLOOKUP(B544,'Location Data'!$C$5:$G$1004,4,FALSE)</f>
        <v>#N/A</v>
      </c>
      <c r="J544" t="e">
        <f>VLOOKUP(B544,'Location Data'!$C$5:$G$1004,5,FALSE)</f>
        <v>#N/A</v>
      </c>
      <c r="K544" t="e">
        <f>VLOOKUP(C544,'Location Data'!$C$5:$G$1004,4,FALSE)</f>
        <v>#N/A</v>
      </c>
      <c r="L544" t="e">
        <f>VLOOKUP(C544,'Location Data'!$C$5:$G$1004,5,FALSE)</f>
        <v>#N/A</v>
      </c>
    </row>
    <row r="545" spans="1:12" x14ac:dyDescent="0.2">
      <c r="A545">
        <f>'Shipment Data for Provisioning'!B550</f>
        <v>0</v>
      </c>
      <c r="B545">
        <f>'Shipment Data for Provisioning'!C550</f>
        <v>0</v>
      </c>
      <c r="C545">
        <f>'Shipment Data for Provisioning'!D550</f>
        <v>0</v>
      </c>
      <c r="D545">
        <f>'Shipment Data for Provisioning'!E550</f>
        <v>0</v>
      </c>
      <c r="E545">
        <f>'Shipment Data for Provisioning'!F550</f>
        <v>0</v>
      </c>
      <c r="F545">
        <f>'Shipment Data for Provisioning'!G550</f>
        <v>0</v>
      </c>
      <c r="G545">
        <f>'Shipment Data for Provisioning'!H550</f>
        <v>0</v>
      </c>
      <c r="H545">
        <f>'Shipment Data for Provisioning'!I550</f>
        <v>0</v>
      </c>
      <c r="I545" t="e">
        <f>VLOOKUP(B545,'Location Data'!$C$5:$G$1004,4,FALSE)</f>
        <v>#N/A</v>
      </c>
      <c r="J545" t="e">
        <f>VLOOKUP(B545,'Location Data'!$C$5:$G$1004,5,FALSE)</f>
        <v>#N/A</v>
      </c>
      <c r="K545" t="e">
        <f>VLOOKUP(C545,'Location Data'!$C$5:$G$1004,4,FALSE)</f>
        <v>#N/A</v>
      </c>
      <c r="L545" t="e">
        <f>VLOOKUP(C545,'Location Data'!$C$5:$G$1004,5,FALSE)</f>
        <v>#N/A</v>
      </c>
    </row>
    <row r="546" spans="1:12" x14ac:dyDescent="0.2">
      <c r="A546">
        <f>'Shipment Data for Provisioning'!B551</f>
        <v>0</v>
      </c>
      <c r="B546">
        <f>'Shipment Data for Provisioning'!C551</f>
        <v>0</v>
      </c>
      <c r="C546">
        <f>'Shipment Data for Provisioning'!D551</f>
        <v>0</v>
      </c>
      <c r="D546">
        <f>'Shipment Data for Provisioning'!E551</f>
        <v>0</v>
      </c>
      <c r="E546">
        <f>'Shipment Data for Provisioning'!F551</f>
        <v>0</v>
      </c>
      <c r="F546">
        <f>'Shipment Data for Provisioning'!G551</f>
        <v>0</v>
      </c>
      <c r="G546">
        <f>'Shipment Data for Provisioning'!H551</f>
        <v>0</v>
      </c>
      <c r="H546">
        <f>'Shipment Data for Provisioning'!I551</f>
        <v>0</v>
      </c>
      <c r="I546" t="e">
        <f>VLOOKUP(B546,'Location Data'!$C$5:$G$1004,4,FALSE)</f>
        <v>#N/A</v>
      </c>
      <c r="J546" t="e">
        <f>VLOOKUP(B546,'Location Data'!$C$5:$G$1004,5,FALSE)</f>
        <v>#N/A</v>
      </c>
      <c r="K546" t="e">
        <f>VLOOKUP(C546,'Location Data'!$C$5:$G$1004,4,FALSE)</f>
        <v>#N/A</v>
      </c>
      <c r="L546" t="e">
        <f>VLOOKUP(C546,'Location Data'!$C$5:$G$1004,5,FALSE)</f>
        <v>#N/A</v>
      </c>
    </row>
    <row r="547" spans="1:12" x14ac:dyDescent="0.2">
      <c r="A547">
        <f>'Shipment Data for Provisioning'!B552</f>
        <v>0</v>
      </c>
      <c r="B547">
        <f>'Shipment Data for Provisioning'!C552</f>
        <v>0</v>
      </c>
      <c r="C547">
        <f>'Shipment Data for Provisioning'!D552</f>
        <v>0</v>
      </c>
      <c r="D547">
        <f>'Shipment Data for Provisioning'!E552</f>
        <v>0</v>
      </c>
      <c r="E547">
        <f>'Shipment Data for Provisioning'!F552</f>
        <v>0</v>
      </c>
      <c r="F547">
        <f>'Shipment Data for Provisioning'!G552</f>
        <v>0</v>
      </c>
      <c r="G547">
        <f>'Shipment Data for Provisioning'!H552</f>
        <v>0</v>
      </c>
      <c r="H547">
        <f>'Shipment Data for Provisioning'!I552</f>
        <v>0</v>
      </c>
      <c r="I547" t="e">
        <f>VLOOKUP(B547,'Location Data'!$C$5:$G$1004,4,FALSE)</f>
        <v>#N/A</v>
      </c>
      <c r="J547" t="e">
        <f>VLOOKUP(B547,'Location Data'!$C$5:$G$1004,5,FALSE)</f>
        <v>#N/A</v>
      </c>
      <c r="K547" t="e">
        <f>VLOOKUP(C547,'Location Data'!$C$5:$G$1004,4,FALSE)</f>
        <v>#N/A</v>
      </c>
      <c r="L547" t="e">
        <f>VLOOKUP(C547,'Location Data'!$C$5:$G$1004,5,FALSE)</f>
        <v>#N/A</v>
      </c>
    </row>
    <row r="548" spans="1:12" x14ac:dyDescent="0.2">
      <c r="A548">
        <f>'Shipment Data for Provisioning'!B553</f>
        <v>0</v>
      </c>
      <c r="B548">
        <f>'Shipment Data for Provisioning'!C553</f>
        <v>0</v>
      </c>
      <c r="C548">
        <f>'Shipment Data for Provisioning'!D553</f>
        <v>0</v>
      </c>
      <c r="D548">
        <f>'Shipment Data for Provisioning'!E553</f>
        <v>0</v>
      </c>
      <c r="E548">
        <f>'Shipment Data for Provisioning'!F553</f>
        <v>0</v>
      </c>
      <c r="F548">
        <f>'Shipment Data for Provisioning'!G553</f>
        <v>0</v>
      </c>
      <c r="G548">
        <f>'Shipment Data for Provisioning'!H553</f>
        <v>0</v>
      </c>
      <c r="H548">
        <f>'Shipment Data for Provisioning'!I553</f>
        <v>0</v>
      </c>
      <c r="I548" t="e">
        <f>VLOOKUP(B548,'Location Data'!$C$5:$G$1004,4,FALSE)</f>
        <v>#N/A</v>
      </c>
      <c r="J548" t="e">
        <f>VLOOKUP(B548,'Location Data'!$C$5:$G$1004,5,FALSE)</f>
        <v>#N/A</v>
      </c>
      <c r="K548" t="e">
        <f>VLOOKUP(C548,'Location Data'!$C$5:$G$1004,4,FALSE)</f>
        <v>#N/A</v>
      </c>
      <c r="L548" t="e">
        <f>VLOOKUP(C548,'Location Data'!$C$5:$G$1004,5,FALSE)</f>
        <v>#N/A</v>
      </c>
    </row>
    <row r="549" spans="1:12" x14ac:dyDescent="0.2">
      <c r="A549">
        <f>'Shipment Data for Provisioning'!B554</f>
        <v>0</v>
      </c>
      <c r="B549">
        <f>'Shipment Data for Provisioning'!C554</f>
        <v>0</v>
      </c>
      <c r="C549">
        <f>'Shipment Data for Provisioning'!D554</f>
        <v>0</v>
      </c>
      <c r="D549">
        <f>'Shipment Data for Provisioning'!E554</f>
        <v>0</v>
      </c>
      <c r="E549">
        <f>'Shipment Data for Provisioning'!F554</f>
        <v>0</v>
      </c>
      <c r="F549">
        <f>'Shipment Data for Provisioning'!G554</f>
        <v>0</v>
      </c>
      <c r="G549">
        <f>'Shipment Data for Provisioning'!H554</f>
        <v>0</v>
      </c>
      <c r="H549">
        <f>'Shipment Data for Provisioning'!I554</f>
        <v>0</v>
      </c>
      <c r="I549" t="e">
        <f>VLOOKUP(B549,'Location Data'!$C$5:$G$1004,4,FALSE)</f>
        <v>#N/A</v>
      </c>
      <c r="J549" t="e">
        <f>VLOOKUP(B549,'Location Data'!$C$5:$G$1004,5,FALSE)</f>
        <v>#N/A</v>
      </c>
      <c r="K549" t="e">
        <f>VLOOKUP(C549,'Location Data'!$C$5:$G$1004,4,FALSE)</f>
        <v>#N/A</v>
      </c>
      <c r="L549" t="e">
        <f>VLOOKUP(C549,'Location Data'!$C$5:$G$1004,5,FALSE)</f>
        <v>#N/A</v>
      </c>
    </row>
    <row r="550" spans="1:12" x14ac:dyDescent="0.2">
      <c r="A550">
        <f>'Shipment Data for Provisioning'!B555</f>
        <v>0</v>
      </c>
      <c r="B550">
        <f>'Shipment Data for Provisioning'!C555</f>
        <v>0</v>
      </c>
      <c r="C550">
        <f>'Shipment Data for Provisioning'!D555</f>
        <v>0</v>
      </c>
      <c r="D550">
        <f>'Shipment Data for Provisioning'!E555</f>
        <v>0</v>
      </c>
      <c r="E550">
        <f>'Shipment Data for Provisioning'!F555</f>
        <v>0</v>
      </c>
      <c r="F550">
        <f>'Shipment Data for Provisioning'!G555</f>
        <v>0</v>
      </c>
      <c r="G550">
        <f>'Shipment Data for Provisioning'!H555</f>
        <v>0</v>
      </c>
      <c r="H550">
        <f>'Shipment Data for Provisioning'!I555</f>
        <v>0</v>
      </c>
      <c r="I550" t="e">
        <f>VLOOKUP(B550,'Location Data'!$C$5:$G$1004,4,FALSE)</f>
        <v>#N/A</v>
      </c>
      <c r="J550" t="e">
        <f>VLOOKUP(B550,'Location Data'!$C$5:$G$1004,5,FALSE)</f>
        <v>#N/A</v>
      </c>
      <c r="K550" t="e">
        <f>VLOOKUP(C550,'Location Data'!$C$5:$G$1004,4,FALSE)</f>
        <v>#N/A</v>
      </c>
      <c r="L550" t="e">
        <f>VLOOKUP(C550,'Location Data'!$C$5:$G$1004,5,FALSE)</f>
        <v>#N/A</v>
      </c>
    </row>
    <row r="551" spans="1:12" x14ac:dyDescent="0.2">
      <c r="A551">
        <f>'Shipment Data for Provisioning'!B556</f>
        <v>0</v>
      </c>
      <c r="B551">
        <f>'Shipment Data for Provisioning'!C556</f>
        <v>0</v>
      </c>
      <c r="C551">
        <f>'Shipment Data for Provisioning'!D556</f>
        <v>0</v>
      </c>
      <c r="D551">
        <f>'Shipment Data for Provisioning'!E556</f>
        <v>0</v>
      </c>
      <c r="E551">
        <f>'Shipment Data for Provisioning'!F556</f>
        <v>0</v>
      </c>
      <c r="F551">
        <f>'Shipment Data for Provisioning'!G556</f>
        <v>0</v>
      </c>
      <c r="G551">
        <f>'Shipment Data for Provisioning'!H556</f>
        <v>0</v>
      </c>
      <c r="H551">
        <f>'Shipment Data for Provisioning'!I556</f>
        <v>0</v>
      </c>
      <c r="I551" t="e">
        <f>VLOOKUP(B551,'Location Data'!$C$5:$G$1004,4,FALSE)</f>
        <v>#N/A</v>
      </c>
      <c r="J551" t="e">
        <f>VLOOKUP(B551,'Location Data'!$C$5:$G$1004,5,FALSE)</f>
        <v>#N/A</v>
      </c>
      <c r="K551" t="e">
        <f>VLOOKUP(C551,'Location Data'!$C$5:$G$1004,4,FALSE)</f>
        <v>#N/A</v>
      </c>
      <c r="L551" t="e">
        <f>VLOOKUP(C551,'Location Data'!$C$5:$G$1004,5,FALSE)</f>
        <v>#N/A</v>
      </c>
    </row>
    <row r="552" spans="1:12" x14ac:dyDescent="0.2">
      <c r="A552">
        <f>'Shipment Data for Provisioning'!B557</f>
        <v>0</v>
      </c>
      <c r="B552">
        <f>'Shipment Data for Provisioning'!C557</f>
        <v>0</v>
      </c>
      <c r="C552">
        <f>'Shipment Data for Provisioning'!D557</f>
        <v>0</v>
      </c>
      <c r="D552">
        <f>'Shipment Data for Provisioning'!E557</f>
        <v>0</v>
      </c>
      <c r="E552">
        <f>'Shipment Data for Provisioning'!F557</f>
        <v>0</v>
      </c>
      <c r="F552">
        <f>'Shipment Data for Provisioning'!G557</f>
        <v>0</v>
      </c>
      <c r="G552">
        <f>'Shipment Data for Provisioning'!H557</f>
        <v>0</v>
      </c>
      <c r="H552">
        <f>'Shipment Data for Provisioning'!I557</f>
        <v>0</v>
      </c>
      <c r="I552" t="e">
        <f>VLOOKUP(B552,'Location Data'!$C$5:$G$1004,4,FALSE)</f>
        <v>#N/A</v>
      </c>
      <c r="J552" t="e">
        <f>VLOOKUP(B552,'Location Data'!$C$5:$G$1004,5,FALSE)</f>
        <v>#N/A</v>
      </c>
      <c r="K552" t="e">
        <f>VLOOKUP(C552,'Location Data'!$C$5:$G$1004,4,FALSE)</f>
        <v>#N/A</v>
      </c>
      <c r="L552" t="e">
        <f>VLOOKUP(C552,'Location Data'!$C$5:$G$1004,5,FALSE)</f>
        <v>#N/A</v>
      </c>
    </row>
    <row r="553" spans="1:12" x14ac:dyDescent="0.2">
      <c r="A553">
        <f>'Shipment Data for Provisioning'!B558</f>
        <v>0</v>
      </c>
      <c r="B553">
        <f>'Shipment Data for Provisioning'!C558</f>
        <v>0</v>
      </c>
      <c r="C553">
        <f>'Shipment Data for Provisioning'!D558</f>
        <v>0</v>
      </c>
      <c r="D553">
        <f>'Shipment Data for Provisioning'!E558</f>
        <v>0</v>
      </c>
      <c r="E553">
        <f>'Shipment Data for Provisioning'!F558</f>
        <v>0</v>
      </c>
      <c r="F553">
        <f>'Shipment Data for Provisioning'!G558</f>
        <v>0</v>
      </c>
      <c r="G553">
        <f>'Shipment Data for Provisioning'!H558</f>
        <v>0</v>
      </c>
      <c r="H553">
        <f>'Shipment Data for Provisioning'!I558</f>
        <v>0</v>
      </c>
      <c r="I553" t="e">
        <f>VLOOKUP(B553,'Location Data'!$C$5:$G$1004,4,FALSE)</f>
        <v>#N/A</v>
      </c>
      <c r="J553" t="e">
        <f>VLOOKUP(B553,'Location Data'!$C$5:$G$1004,5,FALSE)</f>
        <v>#N/A</v>
      </c>
      <c r="K553" t="e">
        <f>VLOOKUP(C553,'Location Data'!$C$5:$G$1004,4,FALSE)</f>
        <v>#N/A</v>
      </c>
      <c r="L553" t="e">
        <f>VLOOKUP(C553,'Location Data'!$C$5:$G$1004,5,FALSE)</f>
        <v>#N/A</v>
      </c>
    </row>
    <row r="554" spans="1:12" x14ac:dyDescent="0.2">
      <c r="A554">
        <f>'Shipment Data for Provisioning'!B559</f>
        <v>0</v>
      </c>
      <c r="B554">
        <f>'Shipment Data for Provisioning'!C559</f>
        <v>0</v>
      </c>
      <c r="C554">
        <f>'Shipment Data for Provisioning'!D559</f>
        <v>0</v>
      </c>
      <c r="D554">
        <f>'Shipment Data for Provisioning'!E559</f>
        <v>0</v>
      </c>
      <c r="E554">
        <f>'Shipment Data for Provisioning'!F559</f>
        <v>0</v>
      </c>
      <c r="F554">
        <f>'Shipment Data for Provisioning'!G559</f>
        <v>0</v>
      </c>
      <c r="G554">
        <f>'Shipment Data for Provisioning'!H559</f>
        <v>0</v>
      </c>
      <c r="H554">
        <f>'Shipment Data for Provisioning'!I559</f>
        <v>0</v>
      </c>
      <c r="I554" t="e">
        <f>VLOOKUP(B554,'Location Data'!$C$5:$G$1004,4,FALSE)</f>
        <v>#N/A</v>
      </c>
      <c r="J554" t="e">
        <f>VLOOKUP(B554,'Location Data'!$C$5:$G$1004,5,FALSE)</f>
        <v>#N/A</v>
      </c>
      <c r="K554" t="e">
        <f>VLOOKUP(C554,'Location Data'!$C$5:$G$1004,4,FALSE)</f>
        <v>#N/A</v>
      </c>
      <c r="L554" t="e">
        <f>VLOOKUP(C554,'Location Data'!$C$5:$G$1004,5,FALSE)</f>
        <v>#N/A</v>
      </c>
    </row>
    <row r="555" spans="1:12" x14ac:dyDescent="0.2">
      <c r="A555">
        <f>'Shipment Data for Provisioning'!B560</f>
        <v>0</v>
      </c>
      <c r="B555">
        <f>'Shipment Data for Provisioning'!C560</f>
        <v>0</v>
      </c>
      <c r="C555">
        <f>'Shipment Data for Provisioning'!D560</f>
        <v>0</v>
      </c>
      <c r="D555">
        <f>'Shipment Data for Provisioning'!E560</f>
        <v>0</v>
      </c>
      <c r="E555">
        <f>'Shipment Data for Provisioning'!F560</f>
        <v>0</v>
      </c>
      <c r="F555">
        <f>'Shipment Data for Provisioning'!G560</f>
        <v>0</v>
      </c>
      <c r="G555">
        <f>'Shipment Data for Provisioning'!H560</f>
        <v>0</v>
      </c>
      <c r="H555">
        <f>'Shipment Data for Provisioning'!I560</f>
        <v>0</v>
      </c>
      <c r="I555" t="e">
        <f>VLOOKUP(B555,'Location Data'!$C$5:$G$1004,4,FALSE)</f>
        <v>#N/A</v>
      </c>
      <c r="J555" t="e">
        <f>VLOOKUP(B555,'Location Data'!$C$5:$G$1004,5,FALSE)</f>
        <v>#N/A</v>
      </c>
      <c r="K555" t="e">
        <f>VLOOKUP(C555,'Location Data'!$C$5:$G$1004,4,FALSE)</f>
        <v>#N/A</v>
      </c>
      <c r="L555" t="e">
        <f>VLOOKUP(C555,'Location Data'!$C$5:$G$1004,5,FALSE)</f>
        <v>#N/A</v>
      </c>
    </row>
    <row r="556" spans="1:12" x14ac:dyDescent="0.2">
      <c r="A556">
        <f>'Shipment Data for Provisioning'!B561</f>
        <v>0</v>
      </c>
      <c r="B556">
        <f>'Shipment Data for Provisioning'!C561</f>
        <v>0</v>
      </c>
      <c r="C556">
        <f>'Shipment Data for Provisioning'!D561</f>
        <v>0</v>
      </c>
      <c r="D556">
        <f>'Shipment Data for Provisioning'!E561</f>
        <v>0</v>
      </c>
      <c r="E556">
        <f>'Shipment Data for Provisioning'!F561</f>
        <v>0</v>
      </c>
      <c r="F556">
        <f>'Shipment Data for Provisioning'!G561</f>
        <v>0</v>
      </c>
      <c r="G556">
        <f>'Shipment Data for Provisioning'!H561</f>
        <v>0</v>
      </c>
      <c r="H556">
        <f>'Shipment Data for Provisioning'!I561</f>
        <v>0</v>
      </c>
      <c r="I556" t="e">
        <f>VLOOKUP(B556,'Location Data'!$C$5:$G$1004,4,FALSE)</f>
        <v>#N/A</v>
      </c>
      <c r="J556" t="e">
        <f>VLOOKUP(B556,'Location Data'!$C$5:$G$1004,5,FALSE)</f>
        <v>#N/A</v>
      </c>
      <c r="K556" t="e">
        <f>VLOOKUP(C556,'Location Data'!$C$5:$G$1004,4,FALSE)</f>
        <v>#N/A</v>
      </c>
      <c r="L556" t="e">
        <f>VLOOKUP(C556,'Location Data'!$C$5:$G$1004,5,FALSE)</f>
        <v>#N/A</v>
      </c>
    </row>
    <row r="557" spans="1:12" x14ac:dyDescent="0.2">
      <c r="A557">
        <f>'Shipment Data for Provisioning'!B562</f>
        <v>0</v>
      </c>
      <c r="B557">
        <f>'Shipment Data for Provisioning'!C562</f>
        <v>0</v>
      </c>
      <c r="C557">
        <f>'Shipment Data for Provisioning'!D562</f>
        <v>0</v>
      </c>
      <c r="D557">
        <f>'Shipment Data for Provisioning'!E562</f>
        <v>0</v>
      </c>
      <c r="E557">
        <f>'Shipment Data for Provisioning'!F562</f>
        <v>0</v>
      </c>
      <c r="F557">
        <f>'Shipment Data for Provisioning'!G562</f>
        <v>0</v>
      </c>
      <c r="G557">
        <f>'Shipment Data for Provisioning'!H562</f>
        <v>0</v>
      </c>
      <c r="H557">
        <f>'Shipment Data for Provisioning'!I562</f>
        <v>0</v>
      </c>
      <c r="I557" t="e">
        <f>VLOOKUP(B557,'Location Data'!$C$5:$G$1004,4,FALSE)</f>
        <v>#N/A</v>
      </c>
      <c r="J557" t="e">
        <f>VLOOKUP(B557,'Location Data'!$C$5:$G$1004,5,FALSE)</f>
        <v>#N/A</v>
      </c>
      <c r="K557" t="e">
        <f>VLOOKUP(C557,'Location Data'!$C$5:$G$1004,4,FALSE)</f>
        <v>#N/A</v>
      </c>
      <c r="L557" t="e">
        <f>VLOOKUP(C557,'Location Data'!$C$5:$G$1004,5,FALSE)</f>
        <v>#N/A</v>
      </c>
    </row>
    <row r="558" spans="1:12" x14ac:dyDescent="0.2">
      <c r="A558">
        <f>'Shipment Data for Provisioning'!B563</f>
        <v>0</v>
      </c>
      <c r="B558">
        <f>'Shipment Data for Provisioning'!C563</f>
        <v>0</v>
      </c>
      <c r="C558">
        <f>'Shipment Data for Provisioning'!D563</f>
        <v>0</v>
      </c>
      <c r="D558">
        <f>'Shipment Data for Provisioning'!E563</f>
        <v>0</v>
      </c>
      <c r="E558">
        <f>'Shipment Data for Provisioning'!F563</f>
        <v>0</v>
      </c>
      <c r="F558">
        <f>'Shipment Data for Provisioning'!G563</f>
        <v>0</v>
      </c>
      <c r="G558">
        <f>'Shipment Data for Provisioning'!H563</f>
        <v>0</v>
      </c>
      <c r="H558">
        <f>'Shipment Data for Provisioning'!I563</f>
        <v>0</v>
      </c>
      <c r="I558" t="e">
        <f>VLOOKUP(B558,'Location Data'!$C$5:$G$1004,4,FALSE)</f>
        <v>#N/A</v>
      </c>
      <c r="J558" t="e">
        <f>VLOOKUP(B558,'Location Data'!$C$5:$G$1004,5,FALSE)</f>
        <v>#N/A</v>
      </c>
      <c r="K558" t="e">
        <f>VLOOKUP(C558,'Location Data'!$C$5:$G$1004,4,FALSE)</f>
        <v>#N/A</v>
      </c>
      <c r="L558" t="e">
        <f>VLOOKUP(C558,'Location Data'!$C$5:$G$1004,5,FALSE)</f>
        <v>#N/A</v>
      </c>
    </row>
    <row r="559" spans="1:12" x14ac:dyDescent="0.2">
      <c r="A559">
        <f>'Shipment Data for Provisioning'!B564</f>
        <v>0</v>
      </c>
      <c r="B559">
        <f>'Shipment Data for Provisioning'!C564</f>
        <v>0</v>
      </c>
      <c r="C559">
        <f>'Shipment Data for Provisioning'!D564</f>
        <v>0</v>
      </c>
      <c r="D559">
        <f>'Shipment Data for Provisioning'!E564</f>
        <v>0</v>
      </c>
      <c r="E559">
        <f>'Shipment Data for Provisioning'!F564</f>
        <v>0</v>
      </c>
      <c r="F559">
        <f>'Shipment Data for Provisioning'!G564</f>
        <v>0</v>
      </c>
      <c r="G559">
        <f>'Shipment Data for Provisioning'!H564</f>
        <v>0</v>
      </c>
      <c r="H559">
        <f>'Shipment Data for Provisioning'!I564</f>
        <v>0</v>
      </c>
      <c r="I559" t="e">
        <f>VLOOKUP(B559,'Location Data'!$C$5:$G$1004,4,FALSE)</f>
        <v>#N/A</v>
      </c>
      <c r="J559" t="e">
        <f>VLOOKUP(B559,'Location Data'!$C$5:$G$1004,5,FALSE)</f>
        <v>#N/A</v>
      </c>
      <c r="K559" t="e">
        <f>VLOOKUP(C559,'Location Data'!$C$5:$G$1004,4,FALSE)</f>
        <v>#N/A</v>
      </c>
      <c r="L559" t="e">
        <f>VLOOKUP(C559,'Location Data'!$C$5:$G$1004,5,FALSE)</f>
        <v>#N/A</v>
      </c>
    </row>
    <row r="560" spans="1:12" x14ac:dyDescent="0.2">
      <c r="A560">
        <f>'Shipment Data for Provisioning'!B565</f>
        <v>0</v>
      </c>
      <c r="B560">
        <f>'Shipment Data for Provisioning'!C565</f>
        <v>0</v>
      </c>
      <c r="C560">
        <f>'Shipment Data for Provisioning'!D565</f>
        <v>0</v>
      </c>
      <c r="D560">
        <f>'Shipment Data for Provisioning'!E565</f>
        <v>0</v>
      </c>
      <c r="E560">
        <f>'Shipment Data for Provisioning'!F565</f>
        <v>0</v>
      </c>
      <c r="F560">
        <f>'Shipment Data for Provisioning'!G565</f>
        <v>0</v>
      </c>
      <c r="G560">
        <f>'Shipment Data for Provisioning'!H565</f>
        <v>0</v>
      </c>
      <c r="H560">
        <f>'Shipment Data for Provisioning'!I565</f>
        <v>0</v>
      </c>
      <c r="I560" t="e">
        <f>VLOOKUP(B560,'Location Data'!$C$5:$G$1004,4,FALSE)</f>
        <v>#N/A</v>
      </c>
      <c r="J560" t="e">
        <f>VLOOKUP(B560,'Location Data'!$C$5:$G$1004,5,FALSE)</f>
        <v>#N/A</v>
      </c>
      <c r="K560" t="e">
        <f>VLOOKUP(C560,'Location Data'!$C$5:$G$1004,4,FALSE)</f>
        <v>#N/A</v>
      </c>
      <c r="L560" t="e">
        <f>VLOOKUP(C560,'Location Data'!$C$5:$G$1004,5,FALSE)</f>
        <v>#N/A</v>
      </c>
    </row>
    <row r="561" spans="1:12" x14ac:dyDescent="0.2">
      <c r="A561">
        <f>'Shipment Data for Provisioning'!B566</f>
        <v>0</v>
      </c>
      <c r="B561">
        <f>'Shipment Data for Provisioning'!C566</f>
        <v>0</v>
      </c>
      <c r="C561">
        <f>'Shipment Data for Provisioning'!D566</f>
        <v>0</v>
      </c>
      <c r="D561">
        <f>'Shipment Data for Provisioning'!E566</f>
        <v>0</v>
      </c>
      <c r="E561">
        <f>'Shipment Data for Provisioning'!F566</f>
        <v>0</v>
      </c>
      <c r="F561">
        <f>'Shipment Data for Provisioning'!G566</f>
        <v>0</v>
      </c>
      <c r="G561">
        <f>'Shipment Data for Provisioning'!H566</f>
        <v>0</v>
      </c>
      <c r="H561">
        <f>'Shipment Data for Provisioning'!I566</f>
        <v>0</v>
      </c>
      <c r="I561" t="e">
        <f>VLOOKUP(B561,'Location Data'!$C$5:$G$1004,4,FALSE)</f>
        <v>#N/A</v>
      </c>
      <c r="J561" t="e">
        <f>VLOOKUP(B561,'Location Data'!$C$5:$G$1004,5,FALSE)</f>
        <v>#N/A</v>
      </c>
      <c r="K561" t="e">
        <f>VLOOKUP(C561,'Location Data'!$C$5:$G$1004,4,FALSE)</f>
        <v>#N/A</v>
      </c>
      <c r="L561" t="e">
        <f>VLOOKUP(C561,'Location Data'!$C$5:$G$1004,5,FALSE)</f>
        <v>#N/A</v>
      </c>
    </row>
    <row r="562" spans="1:12" x14ac:dyDescent="0.2">
      <c r="A562">
        <f>'Shipment Data for Provisioning'!B567</f>
        <v>0</v>
      </c>
      <c r="B562">
        <f>'Shipment Data for Provisioning'!C567</f>
        <v>0</v>
      </c>
      <c r="C562">
        <f>'Shipment Data for Provisioning'!D567</f>
        <v>0</v>
      </c>
      <c r="D562">
        <f>'Shipment Data for Provisioning'!E567</f>
        <v>0</v>
      </c>
      <c r="E562">
        <f>'Shipment Data for Provisioning'!F567</f>
        <v>0</v>
      </c>
      <c r="F562">
        <f>'Shipment Data for Provisioning'!G567</f>
        <v>0</v>
      </c>
      <c r="G562">
        <f>'Shipment Data for Provisioning'!H567</f>
        <v>0</v>
      </c>
      <c r="H562">
        <f>'Shipment Data for Provisioning'!I567</f>
        <v>0</v>
      </c>
      <c r="I562" t="e">
        <f>VLOOKUP(B562,'Location Data'!$C$5:$G$1004,4,FALSE)</f>
        <v>#N/A</v>
      </c>
      <c r="J562" t="e">
        <f>VLOOKUP(B562,'Location Data'!$C$5:$G$1004,5,FALSE)</f>
        <v>#N/A</v>
      </c>
      <c r="K562" t="e">
        <f>VLOOKUP(C562,'Location Data'!$C$5:$G$1004,4,FALSE)</f>
        <v>#N/A</v>
      </c>
      <c r="L562" t="e">
        <f>VLOOKUP(C562,'Location Data'!$C$5:$G$1004,5,FALSE)</f>
        <v>#N/A</v>
      </c>
    </row>
    <row r="563" spans="1:12" x14ac:dyDescent="0.2">
      <c r="A563">
        <f>'Shipment Data for Provisioning'!B568</f>
        <v>0</v>
      </c>
      <c r="B563">
        <f>'Shipment Data for Provisioning'!C568</f>
        <v>0</v>
      </c>
      <c r="C563">
        <f>'Shipment Data for Provisioning'!D568</f>
        <v>0</v>
      </c>
      <c r="D563">
        <f>'Shipment Data for Provisioning'!E568</f>
        <v>0</v>
      </c>
      <c r="E563">
        <f>'Shipment Data for Provisioning'!F568</f>
        <v>0</v>
      </c>
      <c r="F563">
        <f>'Shipment Data for Provisioning'!G568</f>
        <v>0</v>
      </c>
      <c r="G563">
        <f>'Shipment Data for Provisioning'!H568</f>
        <v>0</v>
      </c>
      <c r="H563">
        <f>'Shipment Data for Provisioning'!I568</f>
        <v>0</v>
      </c>
      <c r="I563" t="e">
        <f>VLOOKUP(B563,'Location Data'!$C$5:$G$1004,4,FALSE)</f>
        <v>#N/A</v>
      </c>
      <c r="J563" t="e">
        <f>VLOOKUP(B563,'Location Data'!$C$5:$G$1004,5,FALSE)</f>
        <v>#N/A</v>
      </c>
      <c r="K563" t="e">
        <f>VLOOKUP(C563,'Location Data'!$C$5:$G$1004,4,FALSE)</f>
        <v>#N/A</v>
      </c>
      <c r="L563" t="e">
        <f>VLOOKUP(C563,'Location Data'!$C$5:$G$1004,5,FALSE)</f>
        <v>#N/A</v>
      </c>
    </row>
    <row r="564" spans="1:12" x14ac:dyDescent="0.2">
      <c r="A564">
        <f>'Shipment Data for Provisioning'!B569</f>
        <v>0</v>
      </c>
      <c r="B564">
        <f>'Shipment Data for Provisioning'!C569</f>
        <v>0</v>
      </c>
      <c r="C564">
        <f>'Shipment Data for Provisioning'!D569</f>
        <v>0</v>
      </c>
      <c r="D564">
        <f>'Shipment Data for Provisioning'!E569</f>
        <v>0</v>
      </c>
      <c r="E564">
        <f>'Shipment Data for Provisioning'!F569</f>
        <v>0</v>
      </c>
      <c r="F564">
        <f>'Shipment Data for Provisioning'!G569</f>
        <v>0</v>
      </c>
      <c r="G564">
        <f>'Shipment Data for Provisioning'!H569</f>
        <v>0</v>
      </c>
      <c r="H564">
        <f>'Shipment Data for Provisioning'!I569</f>
        <v>0</v>
      </c>
      <c r="I564" t="e">
        <f>VLOOKUP(B564,'Location Data'!$C$5:$G$1004,4,FALSE)</f>
        <v>#N/A</v>
      </c>
      <c r="J564" t="e">
        <f>VLOOKUP(B564,'Location Data'!$C$5:$G$1004,5,FALSE)</f>
        <v>#N/A</v>
      </c>
      <c r="K564" t="e">
        <f>VLOOKUP(C564,'Location Data'!$C$5:$G$1004,4,FALSE)</f>
        <v>#N/A</v>
      </c>
      <c r="L564" t="e">
        <f>VLOOKUP(C564,'Location Data'!$C$5:$G$1004,5,FALSE)</f>
        <v>#N/A</v>
      </c>
    </row>
    <row r="565" spans="1:12" x14ac:dyDescent="0.2">
      <c r="A565">
        <f>'Shipment Data for Provisioning'!B570</f>
        <v>0</v>
      </c>
      <c r="B565">
        <f>'Shipment Data for Provisioning'!C570</f>
        <v>0</v>
      </c>
      <c r="C565">
        <f>'Shipment Data for Provisioning'!D570</f>
        <v>0</v>
      </c>
      <c r="D565">
        <f>'Shipment Data for Provisioning'!E570</f>
        <v>0</v>
      </c>
      <c r="E565">
        <f>'Shipment Data for Provisioning'!F570</f>
        <v>0</v>
      </c>
      <c r="F565">
        <f>'Shipment Data for Provisioning'!G570</f>
        <v>0</v>
      </c>
      <c r="G565">
        <f>'Shipment Data for Provisioning'!H570</f>
        <v>0</v>
      </c>
      <c r="H565">
        <f>'Shipment Data for Provisioning'!I570</f>
        <v>0</v>
      </c>
      <c r="I565" t="e">
        <f>VLOOKUP(B565,'Location Data'!$C$5:$G$1004,4,FALSE)</f>
        <v>#N/A</v>
      </c>
      <c r="J565" t="e">
        <f>VLOOKUP(B565,'Location Data'!$C$5:$G$1004,5,FALSE)</f>
        <v>#N/A</v>
      </c>
      <c r="K565" t="e">
        <f>VLOOKUP(C565,'Location Data'!$C$5:$G$1004,4,FALSE)</f>
        <v>#N/A</v>
      </c>
      <c r="L565" t="e">
        <f>VLOOKUP(C565,'Location Data'!$C$5:$G$1004,5,FALSE)</f>
        <v>#N/A</v>
      </c>
    </row>
    <row r="566" spans="1:12" x14ac:dyDescent="0.2">
      <c r="A566">
        <f>'Shipment Data for Provisioning'!B571</f>
        <v>0</v>
      </c>
      <c r="B566">
        <f>'Shipment Data for Provisioning'!C571</f>
        <v>0</v>
      </c>
      <c r="C566">
        <f>'Shipment Data for Provisioning'!D571</f>
        <v>0</v>
      </c>
      <c r="D566">
        <f>'Shipment Data for Provisioning'!E571</f>
        <v>0</v>
      </c>
      <c r="E566">
        <f>'Shipment Data for Provisioning'!F571</f>
        <v>0</v>
      </c>
      <c r="F566">
        <f>'Shipment Data for Provisioning'!G571</f>
        <v>0</v>
      </c>
      <c r="G566">
        <f>'Shipment Data for Provisioning'!H571</f>
        <v>0</v>
      </c>
      <c r="H566">
        <f>'Shipment Data for Provisioning'!I571</f>
        <v>0</v>
      </c>
      <c r="I566" t="e">
        <f>VLOOKUP(B566,'Location Data'!$C$5:$G$1004,4,FALSE)</f>
        <v>#N/A</v>
      </c>
      <c r="J566" t="e">
        <f>VLOOKUP(B566,'Location Data'!$C$5:$G$1004,5,FALSE)</f>
        <v>#N/A</v>
      </c>
      <c r="K566" t="e">
        <f>VLOOKUP(C566,'Location Data'!$C$5:$G$1004,4,FALSE)</f>
        <v>#N/A</v>
      </c>
      <c r="L566" t="e">
        <f>VLOOKUP(C566,'Location Data'!$C$5:$G$1004,5,FALSE)</f>
        <v>#N/A</v>
      </c>
    </row>
    <row r="567" spans="1:12" x14ac:dyDescent="0.2">
      <c r="A567">
        <f>'Shipment Data for Provisioning'!B572</f>
        <v>0</v>
      </c>
      <c r="B567">
        <f>'Shipment Data for Provisioning'!C572</f>
        <v>0</v>
      </c>
      <c r="C567">
        <f>'Shipment Data for Provisioning'!D572</f>
        <v>0</v>
      </c>
      <c r="D567">
        <f>'Shipment Data for Provisioning'!E572</f>
        <v>0</v>
      </c>
      <c r="E567">
        <f>'Shipment Data for Provisioning'!F572</f>
        <v>0</v>
      </c>
      <c r="F567">
        <f>'Shipment Data for Provisioning'!G572</f>
        <v>0</v>
      </c>
      <c r="G567">
        <f>'Shipment Data for Provisioning'!H572</f>
        <v>0</v>
      </c>
      <c r="H567">
        <f>'Shipment Data for Provisioning'!I572</f>
        <v>0</v>
      </c>
      <c r="I567" t="e">
        <f>VLOOKUP(B567,'Location Data'!$C$5:$G$1004,4,FALSE)</f>
        <v>#N/A</v>
      </c>
      <c r="J567" t="e">
        <f>VLOOKUP(B567,'Location Data'!$C$5:$G$1004,5,FALSE)</f>
        <v>#N/A</v>
      </c>
      <c r="K567" t="e">
        <f>VLOOKUP(C567,'Location Data'!$C$5:$G$1004,4,FALSE)</f>
        <v>#N/A</v>
      </c>
      <c r="L567" t="e">
        <f>VLOOKUP(C567,'Location Data'!$C$5:$G$1004,5,FALSE)</f>
        <v>#N/A</v>
      </c>
    </row>
    <row r="568" spans="1:12" x14ac:dyDescent="0.2">
      <c r="A568">
        <f>'Shipment Data for Provisioning'!B573</f>
        <v>0</v>
      </c>
      <c r="B568">
        <f>'Shipment Data for Provisioning'!C573</f>
        <v>0</v>
      </c>
      <c r="C568">
        <f>'Shipment Data for Provisioning'!D573</f>
        <v>0</v>
      </c>
      <c r="D568">
        <f>'Shipment Data for Provisioning'!E573</f>
        <v>0</v>
      </c>
      <c r="E568">
        <f>'Shipment Data for Provisioning'!F573</f>
        <v>0</v>
      </c>
      <c r="F568">
        <f>'Shipment Data for Provisioning'!G573</f>
        <v>0</v>
      </c>
      <c r="G568">
        <f>'Shipment Data for Provisioning'!H573</f>
        <v>0</v>
      </c>
      <c r="H568">
        <f>'Shipment Data for Provisioning'!I573</f>
        <v>0</v>
      </c>
      <c r="I568" t="e">
        <f>VLOOKUP(B568,'Location Data'!$C$5:$G$1004,4,FALSE)</f>
        <v>#N/A</v>
      </c>
      <c r="J568" t="e">
        <f>VLOOKUP(B568,'Location Data'!$C$5:$G$1004,5,FALSE)</f>
        <v>#N/A</v>
      </c>
      <c r="K568" t="e">
        <f>VLOOKUP(C568,'Location Data'!$C$5:$G$1004,4,FALSE)</f>
        <v>#N/A</v>
      </c>
      <c r="L568" t="e">
        <f>VLOOKUP(C568,'Location Data'!$C$5:$G$1004,5,FALSE)</f>
        <v>#N/A</v>
      </c>
    </row>
    <row r="569" spans="1:12" x14ac:dyDescent="0.2">
      <c r="A569">
        <f>'Shipment Data for Provisioning'!B574</f>
        <v>0</v>
      </c>
      <c r="B569">
        <f>'Shipment Data for Provisioning'!C574</f>
        <v>0</v>
      </c>
      <c r="C569">
        <f>'Shipment Data for Provisioning'!D574</f>
        <v>0</v>
      </c>
      <c r="D569">
        <f>'Shipment Data for Provisioning'!E574</f>
        <v>0</v>
      </c>
      <c r="E569">
        <f>'Shipment Data for Provisioning'!F574</f>
        <v>0</v>
      </c>
      <c r="F569">
        <f>'Shipment Data for Provisioning'!G574</f>
        <v>0</v>
      </c>
      <c r="G569">
        <f>'Shipment Data for Provisioning'!H574</f>
        <v>0</v>
      </c>
      <c r="H569">
        <f>'Shipment Data for Provisioning'!I574</f>
        <v>0</v>
      </c>
      <c r="I569" t="e">
        <f>VLOOKUP(B569,'Location Data'!$C$5:$G$1004,4,FALSE)</f>
        <v>#N/A</v>
      </c>
      <c r="J569" t="e">
        <f>VLOOKUP(B569,'Location Data'!$C$5:$G$1004,5,FALSE)</f>
        <v>#N/A</v>
      </c>
      <c r="K569" t="e">
        <f>VLOOKUP(C569,'Location Data'!$C$5:$G$1004,4,FALSE)</f>
        <v>#N/A</v>
      </c>
      <c r="L569" t="e">
        <f>VLOOKUP(C569,'Location Data'!$C$5:$G$1004,5,FALSE)</f>
        <v>#N/A</v>
      </c>
    </row>
    <row r="570" spans="1:12" x14ac:dyDescent="0.2">
      <c r="A570">
        <f>'Shipment Data for Provisioning'!B575</f>
        <v>0</v>
      </c>
      <c r="B570">
        <f>'Shipment Data for Provisioning'!C575</f>
        <v>0</v>
      </c>
      <c r="C570">
        <f>'Shipment Data for Provisioning'!D575</f>
        <v>0</v>
      </c>
      <c r="D570">
        <f>'Shipment Data for Provisioning'!E575</f>
        <v>0</v>
      </c>
      <c r="E570">
        <f>'Shipment Data for Provisioning'!F575</f>
        <v>0</v>
      </c>
      <c r="F570">
        <f>'Shipment Data for Provisioning'!G575</f>
        <v>0</v>
      </c>
      <c r="G570">
        <f>'Shipment Data for Provisioning'!H575</f>
        <v>0</v>
      </c>
      <c r="H570">
        <f>'Shipment Data for Provisioning'!I575</f>
        <v>0</v>
      </c>
      <c r="I570" t="e">
        <f>VLOOKUP(B570,'Location Data'!$C$5:$G$1004,4,FALSE)</f>
        <v>#N/A</v>
      </c>
      <c r="J570" t="e">
        <f>VLOOKUP(B570,'Location Data'!$C$5:$G$1004,5,FALSE)</f>
        <v>#N/A</v>
      </c>
      <c r="K570" t="e">
        <f>VLOOKUP(C570,'Location Data'!$C$5:$G$1004,4,FALSE)</f>
        <v>#N/A</v>
      </c>
      <c r="L570" t="e">
        <f>VLOOKUP(C570,'Location Data'!$C$5:$G$1004,5,FALSE)</f>
        <v>#N/A</v>
      </c>
    </row>
    <row r="571" spans="1:12" x14ac:dyDescent="0.2">
      <c r="A571">
        <f>'Shipment Data for Provisioning'!B576</f>
        <v>0</v>
      </c>
      <c r="B571">
        <f>'Shipment Data for Provisioning'!C576</f>
        <v>0</v>
      </c>
      <c r="C571">
        <f>'Shipment Data for Provisioning'!D576</f>
        <v>0</v>
      </c>
      <c r="D571">
        <f>'Shipment Data for Provisioning'!E576</f>
        <v>0</v>
      </c>
      <c r="E571">
        <f>'Shipment Data for Provisioning'!F576</f>
        <v>0</v>
      </c>
      <c r="F571">
        <f>'Shipment Data for Provisioning'!G576</f>
        <v>0</v>
      </c>
      <c r="G571">
        <f>'Shipment Data for Provisioning'!H576</f>
        <v>0</v>
      </c>
      <c r="H571">
        <f>'Shipment Data for Provisioning'!I576</f>
        <v>0</v>
      </c>
      <c r="I571" t="e">
        <f>VLOOKUP(B571,'Location Data'!$C$5:$G$1004,4,FALSE)</f>
        <v>#N/A</v>
      </c>
      <c r="J571" t="e">
        <f>VLOOKUP(B571,'Location Data'!$C$5:$G$1004,5,FALSE)</f>
        <v>#N/A</v>
      </c>
      <c r="K571" t="e">
        <f>VLOOKUP(C571,'Location Data'!$C$5:$G$1004,4,FALSE)</f>
        <v>#N/A</v>
      </c>
      <c r="L571" t="e">
        <f>VLOOKUP(C571,'Location Data'!$C$5:$G$1004,5,FALSE)</f>
        <v>#N/A</v>
      </c>
    </row>
    <row r="572" spans="1:12" x14ac:dyDescent="0.2">
      <c r="A572">
        <f>'Shipment Data for Provisioning'!B577</f>
        <v>0</v>
      </c>
      <c r="B572">
        <f>'Shipment Data for Provisioning'!C577</f>
        <v>0</v>
      </c>
      <c r="C572">
        <f>'Shipment Data for Provisioning'!D577</f>
        <v>0</v>
      </c>
      <c r="D572">
        <f>'Shipment Data for Provisioning'!E577</f>
        <v>0</v>
      </c>
      <c r="E572">
        <f>'Shipment Data for Provisioning'!F577</f>
        <v>0</v>
      </c>
      <c r="F572">
        <f>'Shipment Data for Provisioning'!G577</f>
        <v>0</v>
      </c>
      <c r="G572">
        <f>'Shipment Data for Provisioning'!H577</f>
        <v>0</v>
      </c>
      <c r="H572">
        <f>'Shipment Data for Provisioning'!I577</f>
        <v>0</v>
      </c>
      <c r="I572" t="e">
        <f>VLOOKUP(B572,'Location Data'!$C$5:$G$1004,4,FALSE)</f>
        <v>#N/A</v>
      </c>
      <c r="J572" t="e">
        <f>VLOOKUP(B572,'Location Data'!$C$5:$G$1004,5,FALSE)</f>
        <v>#N/A</v>
      </c>
      <c r="K572" t="e">
        <f>VLOOKUP(C572,'Location Data'!$C$5:$G$1004,4,FALSE)</f>
        <v>#N/A</v>
      </c>
      <c r="L572" t="e">
        <f>VLOOKUP(C572,'Location Data'!$C$5:$G$1004,5,FALSE)</f>
        <v>#N/A</v>
      </c>
    </row>
    <row r="573" spans="1:12" x14ac:dyDescent="0.2">
      <c r="A573">
        <f>'Shipment Data for Provisioning'!B578</f>
        <v>0</v>
      </c>
      <c r="B573">
        <f>'Shipment Data for Provisioning'!C578</f>
        <v>0</v>
      </c>
      <c r="C573">
        <f>'Shipment Data for Provisioning'!D578</f>
        <v>0</v>
      </c>
      <c r="D573">
        <f>'Shipment Data for Provisioning'!E578</f>
        <v>0</v>
      </c>
      <c r="E573">
        <f>'Shipment Data for Provisioning'!F578</f>
        <v>0</v>
      </c>
      <c r="F573">
        <f>'Shipment Data for Provisioning'!G578</f>
        <v>0</v>
      </c>
      <c r="G573">
        <f>'Shipment Data for Provisioning'!H578</f>
        <v>0</v>
      </c>
      <c r="H573">
        <f>'Shipment Data for Provisioning'!I578</f>
        <v>0</v>
      </c>
      <c r="I573" t="e">
        <f>VLOOKUP(B573,'Location Data'!$C$5:$G$1004,4,FALSE)</f>
        <v>#N/A</v>
      </c>
      <c r="J573" t="e">
        <f>VLOOKUP(B573,'Location Data'!$C$5:$G$1004,5,FALSE)</f>
        <v>#N/A</v>
      </c>
      <c r="K573" t="e">
        <f>VLOOKUP(C573,'Location Data'!$C$5:$G$1004,4,FALSE)</f>
        <v>#N/A</v>
      </c>
      <c r="L573" t="e">
        <f>VLOOKUP(C573,'Location Data'!$C$5:$G$1004,5,FALSE)</f>
        <v>#N/A</v>
      </c>
    </row>
    <row r="574" spans="1:12" x14ac:dyDescent="0.2">
      <c r="A574">
        <f>'Shipment Data for Provisioning'!B579</f>
        <v>0</v>
      </c>
      <c r="B574">
        <f>'Shipment Data for Provisioning'!C579</f>
        <v>0</v>
      </c>
      <c r="C574">
        <f>'Shipment Data for Provisioning'!D579</f>
        <v>0</v>
      </c>
      <c r="D574">
        <f>'Shipment Data for Provisioning'!E579</f>
        <v>0</v>
      </c>
      <c r="E574">
        <f>'Shipment Data for Provisioning'!F579</f>
        <v>0</v>
      </c>
      <c r="F574">
        <f>'Shipment Data for Provisioning'!G579</f>
        <v>0</v>
      </c>
      <c r="G574">
        <f>'Shipment Data for Provisioning'!H579</f>
        <v>0</v>
      </c>
      <c r="H574">
        <f>'Shipment Data for Provisioning'!I579</f>
        <v>0</v>
      </c>
      <c r="I574" t="e">
        <f>VLOOKUP(B574,'Location Data'!$C$5:$G$1004,4,FALSE)</f>
        <v>#N/A</v>
      </c>
      <c r="J574" t="e">
        <f>VLOOKUP(B574,'Location Data'!$C$5:$G$1004,5,FALSE)</f>
        <v>#N/A</v>
      </c>
      <c r="K574" t="e">
        <f>VLOOKUP(C574,'Location Data'!$C$5:$G$1004,4,FALSE)</f>
        <v>#N/A</v>
      </c>
      <c r="L574" t="e">
        <f>VLOOKUP(C574,'Location Data'!$C$5:$G$1004,5,FALSE)</f>
        <v>#N/A</v>
      </c>
    </row>
    <row r="575" spans="1:12" x14ac:dyDescent="0.2">
      <c r="A575">
        <f>'Shipment Data for Provisioning'!B580</f>
        <v>0</v>
      </c>
      <c r="B575">
        <f>'Shipment Data for Provisioning'!C580</f>
        <v>0</v>
      </c>
      <c r="C575">
        <f>'Shipment Data for Provisioning'!D580</f>
        <v>0</v>
      </c>
      <c r="D575">
        <f>'Shipment Data for Provisioning'!E580</f>
        <v>0</v>
      </c>
      <c r="E575">
        <f>'Shipment Data for Provisioning'!F580</f>
        <v>0</v>
      </c>
      <c r="F575">
        <f>'Shipment Data for Provisioning'!G580</f>
        <v>0</v>
      </c>
      <c r="G575">
        <f>'Shipment Data for Provisioning'!H580</f>
        <v>0</v>
      </c>
      <c r="H575">
        <f>'Shipment Data for Provisioning'!I580</f>
        <v>0</v>
      </c>
      <c r="I575" t="e">
        <f>VLOOKUP(B575,'Location Data'!$C$5:$G$1004,4,FALSE)</f>
        <v>#N/A</v>
      </c>
      <c r="J575" t="e">
        <f>VLOOKUP(B575,'Location Data'!$C$5:$G$1004,5,FALSE)</f>
        <v>#N/A</v>
      </c>
      <c r="K575" t="e">
        <f>VLOOKUP(C575,'Location Data'!$C$5:$G$1004,4,FALSE)</f>
        <v>#N/A</v>
      </c>
      <c r="L575" t="e">
        <f>VLOOKUP(C575,'Location Data'!$C$5:$G$1004,5,FALSE)</f>
        <v>#N/A</v>
      </c>
    </row>
    <row r="576" spans="1:12" x14ac:dyDescent="0.2">
      <c r="A576">
        <f>'Shipment Data for Provisioning'!B581</f>
        <v>0</v>
      </c>
      <c r="B576">
        <f>'Shipment Data for Provisioning'!C581</f>
        <v>0</v>
      </c>
      <c r="C576">
        <f>'Shipment Data for Provisioning'!D581</f>
        <v>0</v>
      </c>
      <c r="D576">
        <f>'Shipment Data for Provisioning'!E581</f>
        <v>0</v>
      </c>
      <c r="E576">
        <f>'Shipment Data for Provisioning'!F581</f>
        <v>0</v>
      </c>
      <c r="F576">
        <f>'Shipment Data for Provisioning'!G581</f>
        <v>0</v>
      </c>
      <c r="G576">
        <f>'Shipment Data for Provisioning'!H581</f>
        <v>0</v>
      </c>
      <c r="H576">
        <f>'Shipment Data for Provisioning'!I581</f>
        <v>0</v>
      </c>
      <c r="I576" t="e">
        <f>VLOOKUP(B576,'Location Data'!$C$5:$G$1004,4,FALSE)</f>
        <v>#N/A</v>
      </c>
      <c r="J576" t="e">
        <f>VLOOKUP(B576,'Location Data'!$C$5:$G$1004,5,FALSE)</f>
        <v>#N/A</v>
      </c>
      <c r="K576" t="e">
        <f>VLOOKUP(C576,'Location Data'!$C$5:$G$1004,4,FALSE)</f>
        <v>#N/A</v>
      </c>
      <c r="L576" t="e">
        <f>VLOOKUP(C576,'Location Data'!$C$5:$G$1004,5,FALSE)</f>
        <v>#N/A</v>
      </c>
    </row>
    <row r="577" spans="1:12" x14ac:dyDescent="0.2">
      <c r="A577">
        <f>'Shipment Data for Provisioning'!B582</f>
        <v>0</v>
      </c>
      <c r="B577">
        <f>'Shipment Data for Provisioning'!C582</f>
        <v>0</v>
      </c>
      <c r="C577">
        <f>'Shipment Data for Provisioning'!D582</f>
        <v>0</v>
      </c>
      <c r="D577">
        <f>'Shipment Data for Provisioning'!E582</f>
        <v>0</v>
      </c>
      <c r="E577">
        <f>'Shipment Data for Provisioning'!F582</f>
        <v>0</v>
      </c>
      <c r="F577">
        <f>'Shipment Data for Provisioning'!G582</f>
        <v>0</v>
      </c>
      <c r="G577">
        <f>'Shipment Data for Provisioning'!H582</f>
        <v>0</v>
      </c>
      <c r="H577">
        <f>'Shipment Data for Provisioning'!I582</f>
        <v>0</v>
      </c>
      <c r="I577" t="e">
        <f>VLOOKUP(B577,'Location Data'!$C$5:$G$1004,4,FALSE)</f>
        <v>#N/A</v>
      </c>
      <c r="J577" t="e">
        <f>VLOOKUP(B577,'Location Data'!$C$5:$G$1004,5,FALSE)</f>
        <v>#N/A</v>
      </c>
      <c r="K577" t="e">
        <f>VLOOKUP(C577,'Location Data'!$C$5:$G$1004,4,FALSE)</f>
        <v>#N/A</v>
      </c>
      <c r="L577" t="e">
        <f>VLOOKUP(C577,'Location Data'!$C$5:$G$1004,5,FALSE)</f>
        <v>#N/A</v>
      </c>
    </row>
    <row r="578" spans="1:12" x14ac:dyDescent="0.2">
      <c r="A578">
        <f>'Shipment Data for Provisioning'!B583</f>
        <v>0</v>
      </c>
      <c r="B578">
        <f>'Shipment Data for Provisioning'!C583</f>
        <v>0</v>
      </c>
      <c r="C578">
        <f>'Shipment Data for Provisioning'!D583</f>
        <v>0</v>
      </c>
      <c r="D578">
        <f>'Shipment Data for Provisioning'!E583</f>
        <v>0</v>
      </c>
      <c r="E578">
        <f>'Shipment Data for Provisioning'!F583</f>
        <v>0</v>
      </c>
      <c r="F578">
        <f>'Shipment Data for Provisioning'!G583</f>
        <v>0</v>
      </c>
      <c r="G578">
        <f>'Shipment Data for Provisioning'!H583</f>
        <v>0</v>
      </c>
      <c r="H578">
        <f>'Shipment Data for Provisioning'!I583</f>
        <v>0</v>
      </c>
      <c r="I578" t="e">
        <f>VLOOKUP(B578,'Location Data'!$C$5:$G$1004,4,FALSE)</f>
        <v>#N/A</v>
      </c>
      <c r="J578" t="e">
        <f>VLOOKUP(B578,'Location Data'!$C$5:$G$1004,5,FALSE)</f>
        <v>#N/A</v>
      </c>
      <c r="K578" t="e">
        <f>VLOOKUP(C578,'Location Data'!$C$5:$G$1004,4,FALSE)</f>
        <v>#N/A</v>
      </c>
      <c r="L578" t="e">
        <f>VLOOKUP(C578,'Location Data'!$C$5:$G$1004,5,FALSE)</f>
        <v>#N/A</v>
      </c>
    </row>
    <row r="579" spans="1:12" x14ac:dyDescent="0.2">
      <c r="A579">
        <f>'Shipment Data for Provisioning'!B584</f>
        <v>0</v>
      </c>
      <c r="B579">
        <f>'Shipment Data for Provisioning'!C584</f>
        <v>0</v>
      </c>
      <c r="C579">
        <f>'Shipment Data for Provisioning'!D584</f>
        <v>0</v>
      </c>
      <c r="D579">
        <f>'Shipment Data for Provisioning'!E584</f>
        <v>0</v>
      </c>
      <c r="E579">
        <f>'Shipment Data for Provisioning'!F584</f>
        <v>0</v>
      </c>
      <c r="F579">
        <f>'Shipment Data for Provisioning'!G584</f>
        <v>0</v>
      </c>
      <c r="G579">
        <f>'Shipment Data for Provisioning'!H584</f>
        <v>0</v>
      </c>
      <c r="H579">
        <f>'Shipment Data for Provisioning'!I584</f>
        <v>0</v>
      </c>
      <c r="I579" t="e">
        <f>VLOOKUP(B579,'Location Data'!$C$5:$G$1004,4,FALSE)</f>
        <v>#N/A</v>
      </c>
      <c r="J579" t="e">
        <f>VLOOKUP(B579,'Location Data'!$C$5:$G$1004,5,FALSE)</f>
        <v>#N/A</v>
      </c>
      <c r="K579" t="e">
        <f>VLOOKUP(C579,'Location Data'!$C$5:$G$1004,4,FALSE)</f>
        <v>#N/A</v>
      </c>
      <c r="L579" t="e">
        <f>VLOOKUP(C579,'Location Data'!$C$5:$G$1004,5,FALSE)</f>
        <v>#N/A</v>
      </c>
    </row>
    <row r="580" spans="1:12" x14ac:dyDescent="0.2">
      <c r="A580">
        <f>'Shipment Data for Provisioning'!B585</f>
        <v>0</v>
      </c>
      <c r="B580">
        <f>'Shipment Data for Provisioning'!C585</f>
        <v>0</v>
      </c>
      <c r="C580">
        <f>'Shipment Data for Provisioning'!D585</f>
        <v>0</v>
      </c>
      <c r="D580">
        <f>'Shipment Data for Provisioning'!E585</f>
        <v>0</v>
      </c>
      <c r="E580">
        <f>'Shipment Data for Provisioning'!F585</f>
        <v>0</v>
      </c>
      <c r="F580">
        <f>'Shipment Data for Provisioning'!G585</f>
        <v>0</v>
      </c>
      <c r="G580">
        <f>'Shipment Data for Provisioning'!H585</f>
        <v>0</v>
      </c>
      <c r="H580">
        <f>'Shipment Data for Provisioning'!I585</f>
        <v>0</v>
      </c>
      <c r="I580" t="e">
        <f>VLOOKUP(B580,'Location Data'!$C$5:$G$1004,4,FALSE)</f>
        <v>#N/A</v>
      </c>
      <c r="J580" t="e">
        <f>VLOOKUP(B580,'Location Data'!$C$5:$G$1004,5,FALSE)</f>
        <v>#N/A</v>
      </c>
      <c r="K580" t="e">
        <f>VLOOKUP(C580,'Location Data'!$C$5:$G$1004,4,FALSE)</f>
        <v>#N/A</v>
      </c>
      <c r="L580" t="e">
        <f>VLOOKUP(C580,'Location Data'!$C$5:$G$1004,5,FALSE)</f>
        <v>#N/A</v>
      </c>
    </row>
    <row r="581" spans="1:12" x14ac:dyDescent="0.2">
      <c r="A581">
        <f>'Shipment Data for Provisioning'!B586</f>
        <v>0</v>
      </c>
      <c r="B581">
        <f>'Shipment Data for Provisioning'!C586</f>
        <v>0</v>
      </c>
      <c r="C581">
        <f>'Shipment Data for Provisioning'!D586</f>
        <v>0</v>
      </c>
      <c r="D581">
        <f>'Shipment Data for Provisioning'!E586</f>
        <v>0</v>
      </c>
      <c r="E581">
        <f>'Shipment Data for Provisioning'!F586</f>
        <v>0</v>
      </c>
      <c r="F581">
        <f>'Shipment Data for Provisioning'!G586</f>
        <v>0</v>
      </c>
      <c r="G581">
        <f>'Shipment Data for Provisioning'!H586</f>
        <v>0</v>
      </c>
      <c r="H581">
        <f>'Shipment Data for Provisioning'!I586</f>
        <v>0</v>
      </c>
      <c r="I581" t="e">
        <f>VLOOKUP(B581,'Location Data'!$C$5:$G$1004,4,FALSE)</f>
        <v>#N/A</v>
      </c>
      <c r="J581" t="e">
        <f>VLOOKUP(B581,'Location Data'!$C$5:$G$1004,5,FALSE)</f>
        <v>#N/A</v>
      </c>
      <c r="K581" t="e">
        <f>VLOOKUP(C581,'Location Data'!$C$5:$G$1004,4,FALSE)</f>
        <v>#N/A</v>
      </c>
      <c r="L581" t="e">
        <f>VLOOKUP(C581,'Location Data'!$C$5:$G$1004,5,FALSE)</f>
        <v>#N/A</v>
      </c>
    </row>
    <row r="582" spans="1:12" x14ac:dyDescent="0.2">
      <c r="A582">
        <f>'Shipment Data for Provisioning'!B587</f>
        <v>0</v>
      </c>
      <c r="B582">
        <f>'Shipment Data for Provisioning'!C587</f>
        <v>0</v>
      </c>
      <c r="C582">
        <f>'Shipment Data for Provisioning'!D587</f>
        <v>0</v>
      </c>
      <c r="D582">
        <f>'Shipment Data for Provisioning'!E587</f>
        <v>0</v>
      </c>
      <c r="E582">
        <f>'Shipment Data for Provisioning'!F587</f>
        <v>0</v>
      </c>
      <c r="F582">
        <f>'Shipment Data for Provisioning'!G587</f>
        <v>0</v>
      </c>
      <c r="G582">
        <f>'Shipment Data for Provisioning'!H587</f>
        <v>0</v>
      </c>
      <c r="H582">
        <f>'Shipment Data for Provisioning'!I587</f>
        <v>0</v>
      </c>
      <c r="I582" t="e">
        <f>VLOOKUP(B582,'Location Data'!$C$5:$G$1004,4,FALSE)</f>
        <v>#N/A</v>
      </c>
      <c r="J582" t="e">
        <f>VLOOKUP(B582,'Location Data'!$C$5:$G$1004,5,FALSE)</f>
        <v>#N/A</v>
      </c>
      <c r="K582" t="e">
        <f>VLOOKUP(C582,'Location Data'!$C$5:$G$1004,4,FALSE)</f>
        <v>#N/A</v>
      </c>
      <c r="L582" t="e">
        <f>VLOOKUP(C582,'Location Data'!$C$5:$G$1004,5,FALSE)</f>
        <v>#N/A</v>
      </c>
    </row>
    <row r="583" spans="1:12" x14ac:dyDescent="0.2">
      <c r="A583">
        <f>'Shipment Data for Provisioning'!B588</f>
        <v>0</v>
      </c>
      <c r="B583">
        <f>'Shipment Data for Provisioning'!C588</f>
        <v>0</v>
      </c>
      <c r="C583">
        <f>'Shipment Data for Provisioning'!D588</f>
        <v>0</v>
      </c>
      <c r="D583">
        <f>'Shipment Data for Provisioning'!E588</f>
        <v>0</v>
      </c>
      <c r="E583">
        <f>'Shipment Data for Provisioning'!F588</f>
        <v>0</v>
      </c>
      <c r="F583">
        <f>'Shipment Data for Provisioning'!G588</f>
        <v>0</v>
      </c>
      <c r="G583">
        <f>'Shipment Data for Provisioning'!H588</f>
        <v>0</v>
      </c>
      <c r="H583">
        <f>'Shipment Data for Provisioning'!I588</f>
        <v>0</v>
      </c>
      <c r="I583" t="e">
        <f>VLOOKUP(B583,'Location Data'!$C$5:$G$1004,4,FALSE)</f>
        <v>#N/A</v>
      </c>
      <c r="J583" t="e">
        <f>VLOOKUP(B583,'Location Data'!$C$5:$G$1004,5,FALSE)</f>
        <v>#N/A</v>
      </c>
      <c r="K583" t="e">
        <f>VLOOKUP(C583,'Location Data'!$C$5:$G$1004,4,FALSE)</f>
        <v>#N/A</v>
      </c>
      <c r="L583" t="e">
        <f>VLOOKUP(C583,'Location Data'!$C$5:$G$1004,5,FALSE)</f>
        <v>#N/A</v>
      </c>
    </row>
    <row r="584" spans="1:12" x14ac:dyDescent="0.2">
      <c r="A584">
        <f>'Shipment Data for Provisioning'!B589</f>
        <v>0</v>
      </c>
      <c r="B584">
        <f>'Shipment Data for Provisioning'!C589</f>
        <v>0</v>
      </c>
      <c r="C584">
        <f>'Shipment Data for Provisioning'!D589</f>
        <v>0</v>
      </c>
      <c r="D584">
        <f>'Shipment Data for Provisioning'!E589</f>
        <v>0</v>
      </c>
      <c r="E584">
        <f>'Shipment Data for Provisioning'!F589</f>
        <v>0</v>
      </c>
      <c r="F584">
        <f>'Shipment Data for Provisioning'!G589</f>
        <v>0</v>
      </c>
      <c r="G584">
        <f>'Shipment Data for Provisioning'!H589</f>
        <v>0</v>
      </c>
      <c r="H584">
        <f>'Shipment Data for Provisioning'!I589</f>
        <v>0</v>
      </c>
      <c r="I584" t="e">
        <f>VLOOKUP(B584,'Location Data'!$C$5:$G$1004,4,FALSE)</f>
        <v>#N/A</v>
      </c>
      <c r="J584" t="e">
        <f>VLOOKUP(B584,'Location Data'!$C$5:$G$1004,5,FALSE)</f>
        <v>#N/A</v>
      </c>
      <c r="K584" t="e">
        <f>VLOOKUP(C584,'Location Data'!$C$5:$G$1004,4,FALSE)</f>
        <v>#N/A</v>
      </c>
      <c r="L584" t="e">
        <f>VLOOKUP(C584,'Location Data'!$C$5:$G$1004,5,FALSE)</f>
        <v>#N/A</v>
      </c>
    </row>
    <row r="585" spans="1:12" x14ac:dyDescent="0.2">
      <c r="A585">
        <f>'Shipment Data for Provisioning'!B590</f>
        <v>0</v>
      </c>
      <c r="B585">
        <f>'Shipment Data for Provisioning'!C590</f>
        <v>0</v>
      </c>
      <c r="C585">
        <f>'Shipment Data for Provisioning'!D590</f>
        <v>0</v>
      </c>
      <c r="D585">
        <f>'Shipment Data for Provisioning'!E590</f>
        <v>0</v>
      </c>
      <c r="E585">
        <f>'Shipment Data for Provisioning'!F590</f>
        <v>0</v>
      </c>
      <c r="F585">
        <f>'Shipment Data for Provisioning'!G590</f>
        <v>0</v>
      </c>
      <c r="G585">
        <f>'Shipment Data for Provisioning'!H590</f>
        <v>0</v>
      </c>
      <c r="H585">
        <f>'Shipment Data for Provisioning'!I590</f>
        <v>0</v>
      </c>
      <c r="I585" t="e">
        <f>VLOOKUP(B585,'Location Data'!$C$5:$G$1004,4,FALSE)</f>
        <v>#N/A</v>
      </c>
      <c r="J585" t="e">
        <f>VLOOKUP(B585,'Location Data'!$C$5:$G$1004,5,FALSE)</f>
        <v>#N/A</v>
      </c>
      <c r="K585" t="e">
        <f>VLOOKUP(C585,'Location Data'!$C$5:$G$1004,4,FALSE)</f>
        <v>#N/A</v>
      </c>
      <c r="L585" t="e">
        <f>VLOOKUP(C585,'Location Data'!$C$5:$G$1004,5,FALSE)</f>
        <v>#N/A</v>
      </c>
    </row>
    <row r="586" spans="1:12" x14ac:dyDescent="0.2">
      <c r="A586">
        <f>'Shipment Data for Provisioning'!B591</f>
        <v>0</v>
      </c>
      <c r="B586">
        <f>'Shipment Data for Provisioning'!C591</f>
        <v>0</v>
      </c>
      <c r="C586">
        <f>'Shipment Data for Provisioning'!D591</f>
        <v>0</v>
      </c>
      <c r="D586">
        <f>'Shipment Data for Provisioning'!E591</f>
        <v>0</v>
      </c>
      <c r="E586">
        <f>'Shipment Data for Provisioning'!F591</f>
        <v>0</v>
      </c>
      <c r="F586">
        <f>'Shipment Data for Provisioning'!G591</f>
        <v>0</v>
      </c>
      <c r="G586">
        <f>'Shipment Data for Provisioning'!H591</f>
        <v>0</v>
      </c>
      <c r="H586">
        <f>'Shipment Data for Provisioning'!I591</f>
        <v>0</v>
      </c>
      <c r="I586" t="e">
        <f>VLOOKUP(B586,'Location Data'!$C$5:$G$1004,4,FALSE)</f>
        <v>#N/A</v>
      </c>
      <c r="J586" t="e">
        <f>VLOOKUP(B586,'Location Data'!$C$5:$G$1004,5,FALSE)</f>
        <v>#N/A</v>
      </c>
      <c r="K586" t="e">
        <f>VLOOKUP(C586,'Location Data'!$C$5:$G$1004,4,FALSE)</f>
        <v>#N/A</v>
      </c>
      <c r="L586" t="e">
        <f>VLOOKUP(C586,'Location Data'!$C$5:$G$1004,5,FALSE)</f>
        <v>#N/A</v>
      </c>
    </row>
    <row r="587" spans="1:12" x14ac:dyDescent="0.2">
      <c r="A587">
        <f>'Shipment Data for Provisioning'!B592</f>
        <v>0</v>
      </c>
      <c r="B587">
        <f>'Shipment Data for Provisioning'!C592</f>
        <v>0</v>
      </c>
      <c r="C587">
        <f>'Shipment Data for Provisioning'!D592</f>
        <v>0</v>
      </c>
      <c r="D587">
        <f>'Shipment Data for Provisioning'!E592</f>
        <v>0</v>
      </c>
      <c r="E587">
        <f>'Shipment Data for Provisioning'!F592</f>
        <v>0</v>
      </c>
      <c r="F587">
        <f>'Shipment Data for Provisioning'!G592</f>
        <v>0</v>
      </c>
      <c r="G587">
        <f>'Shipment Data for Provisioning'!H592</f>
        <v>0</v>
      </c>
      <c r="H587">
        <f>'Shipment Data for Provisioning'!I592</f>
        <v>0</v>
      </c>
      <c r="I587" t="e">
        <f>VLOOKUP(B587,'Location Data'!$C$5:$G$1004,4,FALSE)</f>
        <v>#N/A</v>
      </c>
      <c r="J587" t="e">
        <f>VLOOKUP(B587,'Location Data'!$C$5:$G$1004,5,FALSE)</f>
        <v>#N/A</v>
      </c>
      <c r="K587" t="e">
        <f>VLOOKUP(C587,'Location Data'!$C$5:$G$1004,4,FALSE)</f>
        <v>#N/A</v>
      </c>
      <c r="L587" t="e">
        <f>VLOOKUP(C587,'Location Data'!$C$5:$G$1004,5,FALSE)</f>
        <v>#N/A</v>
      </c>
    </row>
    <row r="588" spans="1:12" x14ac:dyDescent="0.2">
      <c r="A588">
        <f>'Shipment Data for Provisioning'!B593</f>
        <v>0</v>
      </c>
      <c r="B588">
        <f>'Shipment Data for Provisioning'!C593</f>
        <v>0</v>
      </c>
      <c r="C588">
        <f>'Shipment Data for Provisioning'!D593</f>
        <v>0</v>
      </c>
      <c r="D588">
        <f>'Shipment Data for Provisioning'!E593</f>
        <v>0</v>
      </c>
      <c r="E588">
        <f>'Shipment Data for Provisioning'!F593</f>
        <v>0</v>
      </c>
      <c r="F588">
        <f>'Shipment Data for Provisioning'!G593</f>
        <v>0</v>
      </c>
      <c r="G588">
        <f>'Shipment Data for Provisioning'!H593</f>
        <v>0</v>
      </c>
      <c r="H588">
        <f>'Shipment Data for Provisioning'!I593</f>
        <v>0</v>
      </c>
      <c r="I588" t="e">
        <f>VLOOKUP(B588,'Location Data'!$C$5:$G$1004,4,FALSE)</f>
        <v>#N/A</v>
      </c>
      <c r="J588" t="e">
        <f>VLOOKUP(B588,'Location Data'!$C$5:$G$1004,5,FALSE)</f>
        <v>#N/A</v>
      </c>
      <c r="K588" t="e">
        <f>VLOOKUP(C588,'Location Data'!$C$5:$G$1004,4,FALSE)</f>
        <v>#N/A</v>
      </c>
      <c r="L588" t="e">
        <f>VLOOKUP(C588,'Location Data'!$C$5:$G$1004,5,FALSE)</f>
        <v>#N/A</v>
      </c>
    </row>
    <row r="589" spans="1:12" x14ac:dyDescent="0.2">
      <c r="A589">
        <f>'Shipment Data for Provisioning'!B594</f>
        <v>0</v>
      </c>
      <c r="B589">
        <f>'Shipment Data for Provisioning'!C594</f>
        <v>0</v>
      </c>
      <c r="C589">
        <f>'Shipment Data for Provisioning'!D594</f>
        <v>0</v>
      </c>
      <c r="D589">
        <f>'Shipment Data for Provisioning'!E594</f>
        <v>0</v>
      </c>
      <c r="E589">
        <f>'Shipment Data for Provisioning'!F594</f>
        <v>0</v>
      </c>
      <c r="F589">
        <f>'Shipment Data for Provisioning'!G594</f>
        <v>0</v>
      </c>
      <c r="G589">
        <f>'Shipment Data for Provisioning'!H594</f>
        <v>0</v>
      </c>
      <c r="H589">
        <f>'Shipment Data for Provisioning'!I594</f>
        <v>0</v>
      </c>
      <c r="I589" t="e">
        <f>VLOOKUP(B589,'Location Data'!$C$5:$G$1004,4,FALSE)</f>
        <v>#N/A</v>
      </c>
      <c r="J589" t="e">
        <f>VLOOKUP(B589,'Location Data'!$C$5:$G$1004,5,FALSE)</f>
        <v>#N/A</v>
      </c>
      <c r="K589" t="e">
        <f>VLOOKUP(C589,'Location Data'!$C$5:$G$1004,4,FALSE)</f>
        <v>#N/A</v>
      </c>
      <c r="L589" t="e">
        <f>VLOOKUP(C589,'Location Data'!$C$5:$G$1004,5,FALSE)</f>
        <v>#N/A</v>
      </c>
    </row>
    <row r="590" spans="1:12" x14ac:dyDescent="0.2">
      <c r="A590">
        <f>'Shipment Data for Provisioning'!B595</f>
        <v>0</v>
      </c>
      <c r="B590">
        <f>'Shipment Data for Provisioning'!C595</f>
        <v>0</v>
      </c>
      <c r="C590">
        <f>'Shipment Data for Provisioning'!D595</f>
        <v>0</v>
      </c>
      <c r="D590">
        <f>'Shipment Data for Provisioning'!E595</f>
        <v>0</v>
      </c>
      <c r="E590">
        <f>'Shipment Data for Provisioning'!F595</f>
        <v>0</v>
      </c>
      <c r="F590">
        <f>'Shipment Data for Provisioning'!G595</f>
        <v>0</v>
      </c>
      <c r="G590">
        <f>'Shipment Data for Provisioning'!H595</f>
        <v>0</v>
      </c>
      <c r="H590">
        <f>'Shipment Data for Provisioning'!I595</f>
        <v>0</v>
      </c>
      <c r="I590" t="e">
        <f>VLOOKUP(B590,'Location Data'!$C$5:$G$1004,4,FALSE)</f>
        <v>#N/A</v>
      </c>
      <c r="J590" t="e">
        <f>VLOOKUP(B590,'Location Data'!$C$5:$G$1004,5,FALSE)</f>
        <v>#N/A</v>
      </c>
      <c r="K590" t="e">
        <f>VLOOKUP(C590,'Location Data'!$C$5:$G$1004,4,FALSE)</f>
        <v>#N/A</v>
      </c>
      <c r="L590" t="e">
        <f>VLOOKUP(C590,'Location Data'!$C$5:$G$1004,5,FALSE)</f>
        <v>#N/A</v>
      </c>
    </row>
    <row r="591" spans="1:12" x14ac:dyDescent="0.2">
      <c r="A591">
        <f>'Shipment Data for Provisioning'!B596</f>
        <v>0</v>
      </c>
      <c r="B591">
        <f>'Shipment Data for Provisioning'!C596</f>
        <v>0</v>
      </c>
      <c r="C591">
        <f>'Shipment Data for Provisioning'!D596</f>
        <v>0</v>
      </c>
      <c r="D591">
        <f>'Shipment Data for Provisioning'!E596</f>
        <v>0</v>
      </c>
      <c r="E591">
        <f>'Shipment Data for Provisioning'!F596</f>
        <v>0</v>
      </c>
      <c r="F591">
        <f>'Shipment Data for Provisioning'!G596</f>
        <v>0</v>
      </c>
      <c r="G591">
        <f>'Shipment Data for Provisioning'!H596</f>
        <v>0</v>
      </c>
      <c r="H591">
        <f>'Shipment Data for Provisioning'!I596</f>
        <v>0</v>
      </c>
      <c r="I591" t="e">
        <f>VLOOKUP(B591,'Location Data'!$C$5:$G$1004,4,FALSE)</f>
        <v>#N/A</v>
      </c>
      <c r="J591" t="e">
        <f>VLOOKUP(B591,'Location Data'!$C$5:$G$1004,5,FALSE)</f>
        <v>#N/A</v>
      </c>
      <c r="K591" t="e">
        <f>VLOOKUP(C591,'Location Data'!$C$5:$G$1004,4,FALSE)</f>
        <v>#N/A</v>
      </c>
      <c r="L591" t="e">
        <f>VLOOKUP(C591,'Location Data'!$C$5:$G$1004,5,FALSE)</f>
        <v>#N/A</v>
      </c>
    </row>
    <row r="592" spans="1:12" x14ac:dyDescent="0.2">
      <c r="A592">
        <f>'Shipment Data for Provisioning'!B597</f>
        <v>0</v>
      </c>
      <c r="B592">
        <f>'Shipment Data for Provisioning'!C597</f>
        <v>0</v>
      </c>
      <c r="C592">
        <f>'Shipment Data for Provisioning'!D597</f>
        <v>0</v>
      </c>
      <c r="D592">
        <f>'Shipment Data for Provisioning'!E597</f>
        <v>0</v>
      </c>
      <c r="E592">
        <f>'Shipment Data for Provisioning'!F597</f>
        <v>0</v>
      </c>
      <c r="F592">
        <f>'Shipment Data for Provisioning'!G597</f>
        <v>0</v>
      </c>
      <c r="G592">
        <f>'Shipment Data for Provisioning'!H597</f>
        <v>0</v>
      </c>
      <c r="H592">
        <f>'Shipment Data for Provisioning'!I597</f>
        <v>0</v>
      </c>
      <c r="I592" t="e">
        <f>VLOOKUP(B592,'Location Data'!$C$5:$G$1004,4,FALSE)</f>
        <v>#N/A</v>
      </c>
      <c r="J592" t="e">
        <f>VLOOKUP(B592,'Location Data'!$C$5:$G$1004,5,FALSE)</f>
        <v>#N/A</v>
      </c>
      <c r="K592" t="e">
        <f>VLOOKUP(C592,'Location Data'!$C$5:$G$1004,4,FALSE)</f>
        <v>#N/A</v>
      </c>
      <c r="L592" t="e">
        <f>VLOOKUP(C592,'Location Data'!$C$5:$G$1004,5,FALSE)</f>
        <v>#N/A</v>
      </c>
    </row>
    <row r="593" spans="1:12" x14ac:dyDescent="0.2">
      <c r="A593">
        <f>'Shipment Data for Provisioning'!B598</f>
        <v>0</v>
      </c>
      <c r="B593">
        <f>'Shipment Data for Provisioning'!C598</f>
        <v>0</v>
      </c>
      <c r="C593">
        <f>'Shipment Data for Provisioning'!D598</f>
        <v>0</v>
      </c>
      <c r="D593">
        <f>'Shipment Data for Provisioning'!E598</f>
        <v>0</v>
      </c>
      <c r="E593">
        <f>'Shipment Data for Provisioning'!F598</f>
        <v>0</v>
      </c>
      <c r="F593">
        <f>'Shipment Data for Provisioning'!G598</f>
        <v>0</v>
      </c>
      <c r="G593">
        <f>'Shipment Data for Provisioning'!H598</f>
        <v>0</v>
      </c>
      <c r="H593">
        <f>'Shipment Data for Provisioning'!I598</f>
        <v>0</v>
      </c>
      <c r="I593" t="e">
        <f>VLOOKUP(B593,'Location Data'!$C$5:$G$1004,4,FALSE)</f>
        <v>#N/A</v>
      </c>
      <c r="J593" t="e">
        <f>VLOOKUP(B593,'Location Data'!$C$5:$G$1004,5,FALSE)</f>
        <v>#N/A</v>
      </c>
      <c r="K593" t="e">
        <f>VLOOKUP(C593,'Location Data'!$C$5:$G$1004,4,FALSE)</f>
        <v>#N/A</v>
      </c>
      <c r="L593" t="e">
        <f>VLOOKUP(C593,'Location Data'!$C$5:$G$1004,5,FALSE)</f>
        <v>#N/A</v>
      </c>
    </row>
    <row r="594" spans="1:12" x14ac:dyDescent="0.2">
      <c r="A594">
        <f>'Shipment Data for Provisioning'!B599</f>
        <v>0</v>
      </c>
      <c r="B594">
        <f>'Shipment Data for Provisioning'!C599</f>
        <v>0</v>
      </c>
      <c r="C594">
        <f>'Shipment Data for Provisioning'!D599</f>
        <v>0</v>
      </c>
      <c r="D594">
        <f>'Shipment Data for Provisioning'!E599</f>
        <v>0</v>
      </c>
      <c r="E594">
        <f>'Shipment Data for Provisioning'!F599</f>
        <v>0</v>
      </c>
      <c r="F594">
        <f>'Shipment Data for Provisioning'!G599</f>
        <v>0</v>
      </c>
      <c r="G594">
        <f>'Shipment Data for Provisioning'!H599</f>
        <v>0</v>
      </c>
      <c r="H594">
        <f>'Shipment Data for Provisioning'!I599</f>
        <v>0</v>
      </c>
      <c r="I594" t="e">
        <f>VLOOKUP(B594,'Location Data'!$C$5:$G$1004,4,FALSE)</f>
        <v>#N/A</v>
      </c>
      <c r="J594" t="e">
        <f>VLOOKUP(B594,'Location Data'!$C$5:$G$1004,5,FALSE)</f>
        <v>#N/A</v>
      </c>
      <c r="K594" t="e">
        <f>VLOOKUP(C594,'Location Data'!$C$5:$G$1004,4,FALSE)</f>
        <v>#N/A</v>
      </c>
      <c r="L594" t="e">
        <f>VLOOKUP(C594,'Location Data'!$C$5:$G$1004,5,FALSE)</f>
        <v>#N/A</v>
      </c>
    </row>
    <row r="595" spans="1:12" x14ac:dyDescent="0.2">
      <c r="A595">
        <f>'Shipment Data for Provisioning'!B600</f>
        <v>0</v>
      </c>
      <c r="B595">
        <f>'Shipment Data for Provisioning'!C600</f>
        <v>0</v>
      </c>
      <c r="C595">
        <f>'Shipment Data for Provisioning'!D600</f>
        <v>0</v>
      </c>
      <c r="D595">
        <f>'Shipment Data for Provisioning'!E600</f>
        <v>0</v>
      </c>
      <c r="E595">
        <f>'Shipment Data for Provisioning'!F600</f>
        <v>0</v>
      </c>
      <c r="F595">
        <f>'Shipment Data for Provisioning'!G600</f>
        <v>0</v>
      </c>
      <c r="G595">
        <f>'Shipment Data for Provisioning'!H600</f>
        <v>0</v>
      </c>
      <c r="H595">
        <f>'Shipment Data for Provisioning'!I600</f>
        <v>0</v>
      </c>
      <c r="I595" t="e">
        <f>VLOOKUP(B595,'Location Data'!$C$5:$G$1004,4,FALSE)</f>
        <v>#N/A</v>
      </c>
      <c r="J595" t="e">
        <f>VLOOKUP(B595,'Location Data'!$C$5:$G$1004,5,FALSE)</f>
        <v>#N/A</v>
      </c>
      <c r="K595" t="e">
        <f>VLOOKUP(C595,'Location Data'!$C$5:$G$1004,4,FALSE)</f>
        <v>#N/A</v>
      </c>
      <c r="L595" t="e">
        <f>VLOOKUP(C595,'Location Data'!$C$5:$G$1004,5,FALSE)</f>
        <v>#N/A</v>
      </c>
    </row>
    <row r="596" spans="1:12" x14ac:dyDescent="0.2">
      <c r="A596">
        <f>'Shipment Data for Provisioning'!B601</f>
        <v>0</v>
      </c>
      <c r="B596">
        <f>'Shipment Data for Provisioning'!C601</f>
        <v>0</v>
      </c>
      <c r="C596">
        <f>'Shipment Data for Provisioning'!D601</f>
        <v>0</v>
      </c>
      <c r="D596">
        <f>'Shipment Data for Provisioning'!E601</f>
        <v>0</v>
      </c>
      <c r="E596">
        <f>'Shipment Data for Provisioning'!F601</f>
        <v>0</v>
      </c>
      <c r="F596">
        <f>'Shipment Data for Provisioning'!G601</f>
        <v>0</v>
      </c>
      <c r="G596">
        <f>'Shipment Data for Provisioning'!H601</f>
        <v>0</v>
      </c>
      <c r="H596">
        <f>'Shipment Data for Provisioning'!I601</f>
        <v>0</v>
      </c>
      <c r="I596" t="e">
        <f>VLOOKUP(B596,'Location Data'!$C$5:$G$1004,4,FALSE)</f>
        <v>#N/A</v>
      </c>
      <c r="J596" t="e">
        <f>VLOOKUP(B596,'Location Data'!$C$5:$G$1004,5,FALSE)</f>
        <v>#N/A</v>
      </c>
      <c r="K596" t="e">
        <f>VLOOKUP(C596,'Location Data'!$C$5:$G$1004,4,FALSE)</f>
        <v>#N/A</v>
      </c>
      <c r="L596" t="e">
        <f>VLOOKUP(C596,'Location Data'!$C$5:$G$1004,5,FALSE)</f>
        <v>#N/A</v>
      </c>
    </row>
    <row r="597" spans="1:12" x14ac:dyDescent="0.2">
      <c r="A597">
        <f>'Shipment Data for Provisioning'!B602</f>
        <v>0</v>
      </c>
      <c r="B597">
        <f>'Shipment Data for Provisioning'!C602</f>
        <v>0</v>
      </c>
      <c r="C597">
        <f>'Shipment Data for Provisioning'!D602</f>
        <v>0</v>
      </c>
      <c r="D597">
        <f>'Shipment Data for Provisioning'!E602</f>
        <v>0</v>
      </c>
      <c r="E597">
        <f>'Shipment Data for Provisioning'!F602</f>
        <v>0</v>
      </c>
      <c r="F597">
        <f>'Shipment Data for Provisioning'!G602</f>
        <v>0</v>
      </c>
      <c r="G597">
        <f>'Shipment Data for Provisioning'!H602</f>
        <v>0</v>
      </c>
      <c r="H597">
        <f>'Shipment Data for Provisioning'!I602</f>
        <v>0</v>
      </c>
      <c r="I597" t="e">
        <f>VLOOKUP(B597,'Location Data'!$C$5:$G$1004,4,FALSE)</f>
        <v>#N/A</v>
      </c>
      <c r="J597" t="e">
        <f>VLOOKUP(B597,'Location Data'!$C$5:$G$1004,5,FALSE)</f>
        <v>#N/A</v>
      </c>
      <c r="K597" t="e">
        <f>VLOOKUP(C597,'Location Data'!$C$5:$G$1004,4,FALSE)</f>
        <v>#N/A</v>
      </c>
      <c r="L597" t="e">
        <f>VLOOKUP(C597,'Location Data'!$C$5:$G$1004,5,FALSE)</f>
        <v>#N/A</v>
      </c>
    </row>
    <row r="598" spans="1:12" x14ac:dyDescent="0.2">
      <c r="A598">
        <f>'Shipment Data for Provisioning'!B603</f>
        <v>0</v>
      </c>
      <c r="B598">
        <f>'Shipment Data for Provisioning'!C603</f>
        <v>0</v>
      </c>
      <c r="C598">
        <f>'Shipment Data for Provisioning'!D603</f>
        <v>0</v>
      </c>
      <c r="D598">
        <f>'Shipment Data for Provisioning'!E603</f>
        <v>0</v>
      </c>
      <c r="E598">
        <f>'Shipment Data for Provisioning'!F603</f>
        <v>0</v>
      </c>
      <c r="F598">
        <f>'Shipment Data for Provisioning'!G603</f>
        <v>0</v>
      </c>
      <c r="G598">
        <f>'Shipment Data for Provisioning'!H603</f>
        <v>0</v>
      </c>
      <c r="H598">
        <f>'Shipment Data for Provisioning'!I603</f>
        <v>0</v>
      </c>
      <c r="I598" t="e">
        <f>VLOOKUP(B598,'Location Data'!$C$5:$G$1004,4,FALSE)</f>
        <v>#N/A</v>
      </c>
      <c r="J598" t="e">
        <f>VLOOKUP(B598,'Location Data'!$C$5:$G$1004,5,FALSE)</f>
        <v>#N/A</v>
      </c>
      <c r="K598" t="e">
        <f>VLOOKUP(C598,'Location Data'!$C$5:$G$1004,4,FALSE)</f>
        <v>#N/A</v>
      </c>
      <c r="L598" t="e">
        <f>VLOOKUP(C598,'Location Data'!$C$5:$G$1004,5,FALSE)</f>
        <v>#N/A</v>
      </c>
    </row>
    <row r="599" spans="1:12" x14ac:dyDescent="0.2">
      <c r="A599">
        <f>'Shipment Data for Provisioning'!B604</f>
        <v>0</v>
      </c>
      <c r="B599">
        <f>'Shipment Data for Provisioning'!C604</f>
        <v>0</v>
      </c>
      <c r="C599">
        <f>'Shipment Data for Provisioning'!D604</f>
        <v>0</v>
      </c>
      <c r="D599">
        <f>'Shipment Data for Provisioning'!E604</f>
        <v>0</v>
      </c>
      <c r="E599">
        <f>'Shipment Data for Provisioning'!F604</f>
        <v>0</v>
      </c>
      <c r="F599">
        <f>'Shipment Data for Provisioning'!G604</f>
        <v>0</v>
      </c>
      <c r="G599">
        <f>'Shipment Data for Provisioning'!H604</f>
        <v>0</v>
      </c>
      <c r="H599">
        <f>'Shipment Data for Provisioning'!I604</f>
        <v>0</v>
      </c>
      <c r="I599" t="e">
        <f>VLOOKUP(B599,'Location Data'!$C$5:$G$1004,4,FALSE)</f>
        <v>#N/A</v>
      </c>
      <c r="J599" t="e">
        <f>VLOOKUP(B599,'Location Data'!$C$5:$G$1004,5,FALSE)</f>
        <v>#N/A</v>
      </c>
      <c r="K599" t="e">
        <f>VLOOKUP(C599,'Location Data'!$C$5:$G$1004,4,FALSE)</f>
        <v>#N/A</v>
      </c>
      <c r="L599" t="e">
        <f>VLOOKUP(C599,'Location Data'!$C$5:$G$1004,5,FALSE)</f>
        <v>#N/A</v>
      </c>
    </row>
    <row r="600" spans="1:12" x14ac:dyDescent="0.2">
      <c r="A600">
        <f>'Shipment Data for Provisioning'!B605</f>
        <v>0</v>
      </c>
      <c r="B600">
        <f>'Shipment Data for Provisioning'!C605</f>
        <v>0</v>
      </c>
      <c r="C600">
        <f>'Shipment Data for Provisioning'!D605</f>
        <v>0</v>
      </c>
      <c r="D600">
        <f>'Shipment Data for Provisioning'!E605</f>
        <v>0</v>
      </c>
      <c r="E600">
        <f>'Shipment Data for Provisioning'!F605</f>
        <v>0</v>
      </c>
      <c r="F600">
        <f>'Shipment Data for Provisioning'!G605</f>
        <v>0</v>
      </c>
      <c r="G600">
        <f>'Shipment Data for Provisioning'!H605</f>
        <v>0</v>
      </c>
      <c r="H600">
        <f>'Shipment Data for Provisioning'!I605</f>
        <v>0</v>
      </c>
      <c r="I600" t="e">
        <f>VLOOKUP(B600,'Location Data'!$C$5:$G$1004,4,FALSE)</f>
        <v>#N/A</v>
      </c>
      <c r="J600" t="e">
        <f>VLOOKUP(B600,'Location Data'!$C$5:$G$1004,5,FALSE)</f>
        <v>#N/A</v>
      </c>
      <c r="K600" t="e">
        <f>VLOOKUP(C600,'Location Data'!$C$5:$G$1004,4,FALSE)</f>
        <v>#N/A</v>
      </c>
      <c r="L600" t="e">
        <f>VLOOKUP(C600,'Location Data'!$C$5:$G$1004,5,FALSE)</f>
        <v>#N/A</v>
      </c>
    </row>
    <row r="601" spans="1:12" x14ac:dyDescent="0.2">
      <c r="A601">
        <f>'Shipment Data for Provisioning'!B606</f>
        <v>0</v>
      </c>
      <c r="B601">
        <f>'Shipment Data for Provisioning'!C606</f>
        <v>0</v>
      </c>
      <c r="C601">
        <f>'Shipment Data for Provisioning'!D606</f>
        <v>0</v>
      </c>
      <c r="D601">
        <f>'Shipment Data for Provisioning'!E606</f>
        <v>0</v>
      </c>
      <c r="E601">
        <f>'Shipment Data for Provisioning'!F606</f>
        <v>0</v>
      </c>
      <c r="F601">
        <f>'Shipment Data for Provisioning'!G606</f>
        <v>0</v>
      </c>
      <c r="G601">
        <f>'Shipment Data for Provisioning'!H606</f>
        <v>0</v>
      </c>
      <c r="H601">
        <f>'Shipment Data for Provisioning'!I606</f>
        <v>0</v>
      </c>
      <c r="I601" t="e">
        <f>VLOOKUP(B601,'Location Data'!$C$5:$G$1004,4,FALSE)</f>
        <v>#N/A</v>
      </c>
      <c r="J601" t="e">
        <f>VLOOKUP(B601,'Location Data'!$C$5:$G$1004,5,FALSE)</f>
        <v>#N/A</v>
      </c>
      <c r="K601" t="e">
        <f>VLOOKUP(C601,'Location Data'!$C$5:$G$1004,4,FALSE)</f>
        <v>#N/A</v>
      </c>
      <c r="L601" t="e">
        <f>VLOOKUP(C601,'Location Data'!$C$5:$G$1004,5,FALSE)</f>
        <v>#N/A</v>
      </c>
    </row>
    <row r="602" spans="1:12" x14ac:dyDescent="0.2">
      <c r="A602">
        <f>'Shipment Data for Provisioning'!B607</f>
        <v>0</v>
      </c>
      <c r="B602">
        <f>'Shipment Data for Provisioning'!C607</f>
        <v>0</v>
      </c>
      <c r="C602">
        <f>'Shipment Data for Provisioning'!D607</f>
        <v>0</v>
      </c>
      <c r="D602">
        <f>'Shipment Data for Provisioning'!E607</f>
        <v>0</v>
      </c>
      <c r="E602">
        <f>'Shipment Data for Provisioning'!F607</f>
        <v>0</v>
      </c>
      <c r="F602">
        <f>'Shipment Data for Provisioning'!G607</f>
        <v>0</v>
      </c>
      <c r="G602">
        <f>'Shipment Data for Provisioning'!H607</f>
        <v>0</v>
      </c>
      <c r="H602">
        <f>'Shipment Data for Provisioning'!I607</f>
        <v>0</v>
      </c>
      <c r="I602" t="e">
        <f>VLOOKUP(B602,'Location Data'!$C$5:$G$1004,4,FALSE)</f>
        <v>#N/A</v>
      </c>
      <c r="J602" t="e">
        <f>VLOOKUP(B602,'Location Data'!$C$5:$G$1004,5,FALSE)</f>
        <v>#N/A</v>
      </c>
      <c r="K602" t="e">
        <f>VLOOKUP(C602,'Location Data'!$C$5:$G$1004,4,FALSE)</f>
        <v>#N/A</v>
      </c>
      <c r="L602" t="e">
        <f>VLOOKUP(C602,'Location Data'!$C$5:$G$1004,5,FALSE)</f>
        <v>#N/A</v>
      </c>
    </row>
    <row r="603" spans="1:12" x14ac:dyDescent="0.2">
      <c r="A603">
        <f>'Shipment Data for Provisioning'!B608</f>
        <v>0</v>
      </c>
      <c r="B603">
        <f>'Shipment Data for Provisioning'!C608</f>
        <v>0</v>
      </c>
      <c r="C603">
        <f>'Shipment Data for Provisioning'!D608</f>
        <v>0</v>
      </c>
      <c r="D603">
        <f>'Shipment Data for Provisioning'!E608</f>
        <v>0</v>
      </c>
      <c r="E603">
        <f>'Shipment Data for Provisioning'!F608</f>
        <v>0</v>
      </c>
      <c r="F603">
        <f>'Shipment Data for Provisioning'!G608</f>
        <v>0</v>
      </c>
      <c r="G603">
        <f>'Shipment Data for Provisioning'!H608</f>
        <v>0</v>
      </c>
      <c r="H603">
        <f>'Shipment Data for Provisioning'!I608</f>
        <v>0</v>
      </c>
      <c r="I603" t="e">
        <f>VLOOKUP(B603,'Location Data'!$C$5:$G$1004,4,FALSE)</f>
        <v>#N/A</v>
      </c>
      <c r="J603" t="e">
        <f>VLOOKUP(B603,'Location Data'!$C$5:$G$1004,5,FALSE)</f>
        <v>#N/A</v>
      </c>
      <c r="K603" t="e">
        <f>VLOOKUP(C603,'Location Data'!$C$5:$G$1004,4,FALSE)</f>
        <v>#N/A</v>
      </c>
      <c r="L603" t="e">
        <f>VLOOKUP(C603,'Location Data'!$C$5:$G$1004,5,FALSE)</f>
        <v>#N/A</v>
      </c>
    </row>
    <row r="604" spans="1:12" x14ac:dyDescent="0.2">
      <c r="A604">
        <f>'Shipment Data for Provisioning'!B609</f>
        <v>0</v>
      </c>
      <c r="B604">
        <f>'Shipment Data for Provisioning'!C609</f>
        <v>0</v>
      </c>
      <c r="C604">
        <f>'Shipment Data for Provisioning'!D609</f>
        <v>0</v>
      </c>
      <c r="D604">
        <f>'Shipment Data for Provisioning'!E609</f>
        <v>0</v>
      </c>
      <c r="E604">
        <f>'Shipment Data for Provisioning'!F609</f>
        <v>0</v>
      </c>
      <c r="F604">
        <f>'Shipment Data for Provisioning'!G609</f>
        <v>0</v>
      </c>
      <c r="G604">
        <f>'Shipment Data for Provisioning'!H609</f>
        <v>0</v>
      </c>
      <c r="H604">
        <f>'Shipment Data for Provisioning'!I609</f>
        <v>0</v>
      </c>
      <c r="I604" t="e">
        <f>VLOOKUP(B604,'Location Data'!$C$5:$G$1004,4,FALSE)</f>
        <v>#N/A</v>
      </c>
      <c r="J604" t="e">
        <f>VLOOKUP(B604,'Location Data'!$C$5:$G$1004,5,FALSE)</f>
        <v>#N/A</v>
      </c>
      <c r="K604" t="e">
        <f>VLOOKUP(C604,'Location Data'!$C$5:$G$1004,4,FALSE)</f>
        <v>#N/A</v>
      </c>
      <c r="L604" t="e">
        <f>VLOOKUP(C604,'Location Data'!$C$5:$G$1004,5,FALSE)</f>
        <v>#N/A</v>
      </c>
    </row>
    <row r="605" spans="1:12" x14ac:dyDescent="0.2">
      <c r="A605">
        <f>'Shipment Data for Provisioning'!B610</f>
        <v>0</v>
      </c>
      <c r="B605">
        <f>'Shipment Data for Provisioning'!C610</f>
        <v>0</v>
      </c>
      <c r="C605">
        <f>'Shipment Data for Provisioning'!D610</f>
        <v>0</v>
      </c>
      <c r="D605">
        <f>'Shipment Data for Provisioning'!E610</f>
        <v>0</v>
      </c>
      <c r="E605">
        <f>'Shipment Data for Provisioning'!F610</f>
        <v>0</v>
      </c>
      <c r="F605">
        <f>'Shipment Data for Provisioning'!G610</f>
        <v>0</v>
      </c>
      <c r="G605">
        <f>'Shipment Data for Provisioning'!H610</f>
        <v>0</v>
      </c>
      <c r="H605">
        <f>'Shipment Data for Provisioning'!I610</f>
        <v>0</v>
      </c>
      <c r="I605" t="e">
        <f>VLOOKUP(B605,'Location Data'!$C$5:$G$1004,4,FALSE)</f>
        <v>#N/A</v>
      </c>
      <c r="J605" t="e">
        <f>VLOOKUP(B605,'Location Data'!$C$5:$G$1004,5,FALSE)</f>
        <v>#N/A</v>
      </c>
      <c r="K605" t="e">
        <f>VLOOKUP(C605,'Location Data'!$C$5:$G$1004,4,FALSE)</f>
        <v>#N/A</v>
      </c>
      <c r="L605" t="e">
        <f>VLOOKUP(C605,'Location Data'!$C$5:$G$1004,5,FALSE)</f>
        <v>#N/A</v>
      </c>
    </row>
    <row r="606" spans="1:12" x14ac:dyDescent="0.2">
      <c r="A606">
        <f>'Shipment Data for Provisioning'!B611</f>
        <v>0</v>
      </c>
      <c r="B606">
        <f>'Shipment Data for Provisioning'!C611</f>
        <v>0</v>
      </c>
      <c r="C606">
        <f>'Shipment Data for Provisioning'!D611</f>
        <v>0</v>
      </c>
      <c r="D606">
        <f>'Shipment Data for Provisioning'!E611</f>
        <v>0</v>
      </c>
      <c r="E606">
        <f>'Shipment Data for Provisioning'!F611</f>
        <v>0</v>
      </c>
      <c r="F606">
        <f>'Shipment Data for Provisioning'!G611</f>
        <v>0</v>
      </c>
      <c r="G606">
        <f>'Shipment Data for Provisioning'!H611</f>
        <v>0</v>
      </c>
      <c r="H606">
        <f>'Shipment Data for Provisioning'!I611</f>
        <v>0</v>
      </c>
      <c r="I606" t="e">
        <f>VLOOKUP(B606,'Location Data'!$C$5:$G$1004,4,FALSE)</f>
        <v>#N/A</v>
      </c>
      <c r="J606" t="e">
        <f>VLOOKUP(B606,'Location Data'!$C$5:$G$1004,5,FALSE)</f>
        <v>#N/A</v>
      </c>
      <c r="K606" t="e">
        <f>VLOOKUP(C606,'Location Data'!$C$5:$G$1004,4,FALSE)</f>
        <v>#N/A</v>
      </c>
      <c r="L606" t="e">
        <f>VLOOKUP(C606,'Location Data'!$C$5:$G$1004,5,FALSE)</f>
        <v>#N/A</v>
      </c>
    </row>
    <row r="607" spans="1:12" x14ac:dyDescent="0.2">
      <c r="A607">
        <f>'Shipment Data for Provisioning'!B612</f>
        <v>0</v>
      </c>
      <c r="B607">
        <f>'Shipment Data for Provisioning'!C612</f>
        <v>0</v>
      </c>
      <c r="C607">
        <f>'Shipment Data for Provisioning'!D612</f>
        <v>0</v>
      </c>
      <c r="D607">
        <f>'Shipment Data for Provisioning'!E612</f>
        <v>0</v>
      </c>
      <c r="E607">
        <f>'Shipment Data for Provisioning'!F612</f>
        <v>0</v>
      </c>
      <c r="F607">
        <f>'Shipment Data for Provisioning'!G612</f>
        <v>0</v>
      </c>
      <c r="G607">
        <f>'Shipment Data for Provisioning'!H612</f>
        <v>0</v>
      </c>
      <c r="H607">
        <f>'Shipment Data for Provisioning'!I612</f>
        <v>0</v>
      </c>
      <c r="I607" t="e">
        <f>VLOOKUP(B607,'Location Data'!$C$5:$G$1004,4,FALSE)</f>
        <v>#N/A</v>
      </c>
      <c r="J607" t="e">
        <f>VLOOKUP(B607,'Location Data'!$C$5:$G$1004,5,FALSE)</f>
        <v>#N/A</v>
      </c>
      <c r="K607" t="e">
        <f>VLOOKUP(C607,'Location Data'!$C$5:$G$1004,4,FALSE)</f>
        <v>#N/A</v>
      </c>
      <c r="L607" t="e">
        <f>VLOOKUP(C607,'Location Data'!$C$5:$G$1004,5,FALSE)</f>
        <v>#N/A</v>
      </c>
    </row>
    <row r="608" spans="1:12" x14ac:dyDescent="0.2">
      <c r="A608">
        <f>'Shipment Data for Provisioning'!B613</f>
        <v>0</v>
      </c>
      <c r="B608">
        <f>'Shipment Data for Provisioning'!C613</f>
        <v>0</v>
      </c>
      <c r="C608">
        <f>'Shipment Data for Provisioning'!D613</f>
        <v>0</v>
      </c>
      <c r="D608">
        <f>'Shipment Data for Provisioning'!E613</f>
        <v>0</v>
      </c>
      <c r="E608">
        <f>'Shipment Data for Provisioning'!F613</f>
        <v>0</v>
      </c>
      <c r="F608">
        <f>'Shipment Data for Provisioning'!G613</f>
        <v>0</v>
      </c>
      <c r="G608">
        <f>'Shipment Data for Provisioning'!H613</f>
        <v>0</v>
      </c>
      <c r="H608">
        <f>'Shipment Data for Provisioning'!I613</f>
        <v>0</v>
      </c>
      <c r="I608" t="e">
        <f>VLOOKUP(B608,'Location Data'!$C$5:$G$1004,4,FALSE)</f>
        <v>#N/A</v>
      </c>
      <c r="J608" t="e">
        <f>VLOOKUP(B608,'Location Data'!$C$5:$G$1004,5,FALSE)</f>
        <v>#N/A</v>
      </c>
      <c r="K608" t="e">
        <f>VLOOKUP(C608,'Location Data'!$C$5:$G$1004,4,FALSE)</f>
        <v>#N/A</v>
      </c>
      <c r="L608" t="e">
        <f>VLOOKUP(C608,'Location Data'!$C$5:$G$1004,5,FALSE)</f>
        <v>#N/A</v>
      </c>
    </row>
    <row r="609" spans="1:12" x14ac:dyDescent="0.2">
      <c r="A609">
        <f>'Shipment Data for Provisioning'!B614</f>
        <v>0</v>
      </c>
      <c r="B609">
        <f>'Shipment Data for Provisioning'!C614</f>
        <v>0</v>
      </c>
      <c r="C609">
        <f>'Shipment Data for Provisioning'!D614</f>
        <v>0</v>
      </c>
      <c r="D609">
        <f>'Shipment Data for Provisioning'!E614</f>
        <v>0</v>
      </c>
      <c r="E609">
        <f>'Shipment Data for Provisioning'!F614</f>
        <v>0</v>
      </c>
      <c r="F609">
        <f>'Shipment Data for Provisioning'!G614</f>
        <v>0</v>
      </c>
      <c r="G609">
        <f>'Shipment Data for Provisioning'!H614</f>
        <v>0</v>
      </c>
      <c r="H609">
        <f>'Shipment Data for Provisioning'!I614</f>
        <v>0</v>
      </c>
      <c r="I609" t="e">
        <f>VLOOKUP(B609,'Location Data'!$C$5:$G$1004,4,FALSE)</f>
        <v>#N/A</v>
      </c>
      <c r="J609" t="e">
        <f>VLOOKUP(B609,'Location Data'!$C$5:$G$1004,5,FALSE)</f>
        <v>#N/A</v>
      </c>
      <c r="K609" t="e">
        <f>VLOOKUP(C609,'Location Data'!$C$5:$G$1004,4,FALSE)</f>
        <v>#N/A</v>
      </c>
      <c r="L609" t="e">
        <f>VLOOKUP(C609,'Location Data'!$C$5:$G$1004,5,FALSE)</f>
        <v>#N/A</v>
      </c>
    </row>
    <row r="610" spans="1:12" x14ac:dyDescent="0.2">
      <c r="A610">
        <f>'Shipment Data for Provisioning'!B615</f>
        <v>0</v>
      </c>
      <c r="B610">
        <f>'Shipment Data for Provisioning'!C615</f>
        <v>0</v>
      </c>
      <c r="C610">
        <f>'Shipment Data for Provisioning'!D615</f>
        <v>0</v>
      </c>
      <c r="D610">
        <f>'Shipment Data for Provisioning'!E615</f>
        <v>0</v>
      </c>
      <c r="E610">
        <f>'Shipment Data for Provisioning'!F615</f>
        <v>0</v>
      </c>
      <c r="F610">
        <f>'Shipment Data for Provisioning'!G615</f>
        <v>0</v>
      </c>
      <c r="G610">
        <f>'Shipment Data for Provisioning'!H615</f>
        <v>0</v>
      </c>
      <c r="H610">
        <f>'Shipment Data for Provisioning'!I615</f>
        <v>0</v>
      </c>
      <c r="I610" t="e">
        <f>VLOOKUP(B610,'Location Data'!$C$5:$G$1004,4,FALSE)</f>
        <v>#N/A</v>
      </c>
      <c r="J610" t="e">
        <f>VLOOKUP(B610,'Location Data'!$C$5:$G$1004,5,FALSE)</f>
        <v>#N/A</v>
      </c>
      <c r="K610" t="e">
        <f>VLOOKUP(C610,'Location Data'!$C$5:$G$1004,4,FALSE)</f>
        <v>#N/A</v>
      </c>
      <c r="L610" t="e">
        <f>VLOOKUP(C610,'Location Data'!$C$5:$G$1004,5,FALSE)</f>
        <v>#N/A</v>
      </c>
    </row>
    <row r="611" spans="1:12" x14ac:dyDescent="0.2">
      <c r="A611">
        <f>'Shipment Data for Provisioning'!B616</f>
        <v>0</v>
      </c>
      <c r="B611">
        <f>'Shipment Data for Provisioning'!C616</f>
        <v>0</v>
      </c>
      <c r="C611">
        <f>'Shipment Data for Provisioning'!D616</f>
        <v>0</v>
      </c>
      <c r="D611">
        <f>'Shipment Data for Provisioning'!E616</f>
        <v>0</v>
      </c>
      <c r="E611">
        <f>'Shipment Data for Provisioning'!F616</f>
        <v>0</v>
      </c>
      <c r="F611">
        <f>'Shipment Data for Provisioning'!G616</f>
        <v>0</v>
      </c>
      <c r="G611">
        <f>'Shipment Data for Provisioning'!H616</f>
        <v>0</v>
      </c>
      <c r="H611">
        <f>'Shipment Data for Provisioning'!I616</f>
        <v>0</v>
      </c>
      <c r="I611" t="e">
        <f>VLOOKUP(B611,'Location Data'!$C$5:$G$1004,4,FALSE)</f>
        <v>#N/A</v>
      </c>
      <c r="J611" t="e">
        <f>VLOOKUP(B611,'Location Data'!$C$5:$G$1004,5,FALSE)</f>
        <v>#N/A</v>
      </c>
      <c r="K611" t="e">
        <f>VLOOKUP(C611,'Location Data'!$C$5:$G$1004,4,FALSE)</f>
        <v>#N/A</v>
      </c>
      <c r="L611" t="e">
        <f>VLOOKUP(C611,'Location Data'!$C$5:$G$1004,5,FALSE)</f>
        <v>#N/A</v>
      </c>
    </row>
    <row r="612" spans="1:12" x14ac:dyDescent="0.2">
      <c r="A612">
        <f>'Shipment Data for Provisioning'!B617</f>
        <v>0</v>
      </c>
      <c r="B612">
        <f>'Shipment Data for Provisioning'!C617</f>
        <v>0</v>
      </c>
      <c r="C612">
        <f>'Shipment Data for Provisioning'!D617</f>
        <v>0</v>
      </c>
      <c r="D612">
        <f>'Shipment Data for Provisioning'!E617</f>
        <v>0</v>
      </c>
      <c r="E612">
        <f>'Shipment Data for Provisioning'!F617</f>
        <v>0</v>
      </c>
      <c r="F612">
        <f>'Shipment Data for Provisioning'!G617</f>
        <v>0</v>
      </c>
      <c r="G612">
        <f>'Shipment Data for Provisioning'!H617</f>
        <v>0</v>
      </c>
      <c r="H612">
        <f>'Shipment Data for Provisioning'!I617</f>
        <v>0</v>
      </c>
      <c r="I612" t="e">
        <f>VLOOKUP(B612,'Location Data'!$C$5:$G$1004,4,FALSE)</f>
        <v>#N/A</v>
      </c>
      <c r="J612" t="e">
        <f>VLOOKUP(B612,'Location Data'!$C$5:$G$1004,5,FALSE)</f>
        <v>#N/A</v>
      </c>
      <c r="K612" t="e">
        <f>VLOOKUP(C612,'Location Data'!$C$5:$G$1004,4,FALSE)</f>
        <v>#N/A</v>
      </c>
      <c r="L612" t="e">
        <f>VLOOKUP(C612,'Location Data'!$C$5:$G$1004,5,FALSE)</f>
        <v>#N/A</v>
      </c>
    </row>
    <row r="613" spans="1:12" x14ac:dyDescent="0.2">
      <c r="A613">
        <f>'Shipment Data for Provisioning'!B618</f>
        <v>0</v>
      </c>
      <c r="B613">
        <f>'Shipment Data for Provisioning'!C618</f>
        <v>0</v>
      </c>
      <c r="C613">
        <f>'Shipment Data for Provisioning'!D618</f>
        <v>0</v>
      </c>
      <c r="D613">
        <f>'Shipment Data for Provisioning'!E618</f>
        <v>0</v>
      </c>
      <c r="E613">
        <f>'Shipment Data for Provisioning'!F618</f>
        <v>0</v>
      </c>
      <c r="F613">
        <f>'Shipment Data for Provisioning'!G618</f>
        <v>0</v>
      </c>
      <c r="G613">
        <f>'Shipment Data for Provisioning'!H618</f>
        <v>0</v>
      </c>
      <c r="H613">
        <f>'Shipment Data for Provisioning'!I618</f>
        <v>0</v>
      </c>
      <c r="I613" t="e">
        <f>VLOOKUP(B613,'Location Data'!$C$5:$G$1004,4,FALSE)</f>
        <v>#N/A</v>
      </c>
      <c r="J613" t="e">
        <f>VLOOKUP(B613,'Location Data'!$C$5:$G$1004,5,FALSE)</f>
        <v>#N/A</v>
      </c>
      <c r="K613" t="e">
        <f>VLOOKUP(C613,'Location Data'!$C$5:$G$1004,4,FALSE)</f>
        <v>#N/A</v>
      </c>
      <c r="L613" t="e">
        <f>VLOOKUP(C613,'Location Data'!$C$5:$G$1004,5,FALSE)</f>
        <v>#N/A</v>
      </c>
    </row>
    <row r="614" spans="1:12" x14ac:dyDescent="0.2">
      <c r="A614">
        <f>'Shipment Data for Provisioning'!B619</f>
        <v>0</v>
      </c>
      <c r="B614">
        <f>'Shipment Data for Provisioning'!C619</f>
        <v>0</v>
      </c>
      <c r="C614">
        <f>'Shipment Data for Provisioning'!D619</f>
        <v>0</v>
      </c>
      <c r="D614">
        <f>'Shipment Data for Provisioning'!E619</f>
        <v>0</v>
      </c>
      <c r="E614">
        <f>'Shipment Data for Provisioning'!F619</f>
        <v>0</v>
      </c>
      <c r="F614">
        <f>'Shipment Data for Provisioning'!G619</f>
        <v>0</v>
      </c>
      <c r="G614">
        <f>'Shipment Data for Provisioning'!H619</f>
        <v>0</v>
      </c>
      <c r="H614">
        <f>'Shipment Data for Provisioning'!I619</f>
        <v>0</v>
      </c>
      <c r="I614" t="e">
        <f>VLOOKUP(B614,'Location Data'!$C$5:$G$1004,4,FALSE)</f>
        <v>#N/A</v>
      </c>
      <c r="J614" t="e">
        <f>VLOOKUP(B614,'Location Data'!$C$5:$G$1004,5,FALSE)</f>
        <v>#N/A</v>
      </c>
      <c r="K614" t="e">
        <f>VLOOKUP(C614,'Location Data'!$C$5:$G$1004,4,FALSE)</f>
        <v>#N/A</v>
      </c>
      <c r="L614" t="e">
        <f>VLOOKUP(C614,'Location Data'!$C$5:$G$1004,5,FALSE)</f>
        <v>#N/A</v>
      </c>
    </row>
    <row r="615" spans="1:12" x14ac:dyDescent="0.2">
      <c r="A615">
        <f>'Shipment Data for Provisioning'!B620</f>
        <v>0</v>
      </c>
      <c r="B615">
        <f>'Shipment Data for Provisioning'!C620</f>
        <v>0</v>
      </c>
      <c r="C615">
        <f>'Shipment Data for Provisioning'!D620</f>
        <v>0</v>
      </c>
      <c r="D615">
        <f>'Shipment Data for Provisioning'!E620</f>
        <v>0</v>
      </c>
      <c r="E615">
        <f>'Shipment Data for Provisioning'!F620</f>
        <v>0</v>
      </c>
      <c r="F615">
        <f>'Shipment Data for Provisioning'!G620</f>
        <v>0</v>
      </c>
      <c r="G615">
        <f>'Shipment Data for Provisioning'!H620</f>
        <v>0</v>
      </c>
      <c r="H615">
        <f>'Shipment Data for Provisioning'!I620</f>
        <v>0</v>
      </c>
      <c r="I615" t="e">
        <f>VLOOKUP(B615,'Location Data'!$C$5:$G$1004,4,FALSE)</f>
        <v>#N/A</v>
      </c>
      <c r="J615" t="e">
        <f>VLOOKUP(B615,'Location Data'!$C$5:$G$1004,5,FALSE)</f>
        <v>#N/A</v>
      </c>
      <c r="K615" t="e">
        <f>VLOOKUP(C615,'Location Data'!$C$5:$G$1004,4,FALSE)</f>
        <v>#N/A</v>
      </c>
      <c r="L615" t="e">
        <f>VLOOKUP(C615,'Location Data'!$C$5:$G$1004,5,FALSE)</f>
        <v>#N/A</v>
      </c>
    </row>
    <row r="616" spans="1:12" x14ac:dyDescent="0.2">
      <c r="A616">
        <f>'Shipment Data for Provisioning'!B621</f>
        <v>0</v>
      </c>
      <c r="B616">
        <f>'Shipment Data for Provisioning'!C621</f>
        <v>0</v>
      </c>
      <c r="C616">
        <f>'Shipment Data for Provisioning'!D621</f>
        <v>0</v>
      </c>
      <c r="D616">
        <f>'Shipment Data for Provisioning'!E621</f>
        <v>0</v>
      </c>
      <c r="E616">
        <f>'Shipment Data for Provisioning'!F621</f>
        <v>0</v>
      </c>
      <c r="F616">
        <f>'Shipment Data for Provisioning'!G621</f>
        <v>0</v>
      </c>
      <c r="G616">
        <f>'Shipment Data for Provisioning'!H621</f>
        <v>0</v>
      </c>
      <c r="H616">
        <f>'Shipment Data for Provisioning'!I621</f>
        <v>0</v>
      </c>
      <c r="I616" t="e">
        <f>VLOOKUP(B616,'Location Data'!$C$5:$G$1004,4,FALSE)</f>
        <v>#N/A</v>
      </c>
      <c r="J616" t="e">
        <f>VLOOKUP(B616,'Location Data'!$C$5:$G$1004,5,FALSE)</f>
        <v>#N/A</v>
      </c>
      <c r="K616" t="e">
        <f>VLOOKUP(C616,'Location Data'!$C$5:$G$1004,4,FALSE)</f>
        <v>#N/A</v>
      </c>
      <c r="L616" t="e">
        <f>VLOOKUP(C616,'Location Data'!$C$5:$G$1004,5,FALSE)</f>
        <v>#N/A</v>
      </c>
    </row>
    <row r="617" spans="1:12" x14ac:dyDescent="0.2">
      <c r="A617">
        <f>'Shipment Data for Provisioning'!B622</f>
        <v>0</v>
      </c>
      <c r="B617">
        <f>'Shipment Data for Provisioning'!C622</f>
        <v>0</v>
      </c>
      <c r="C617">
        <f>'Shipment Data for Provisioning'!D622</f>
        <v>0</v>
      </c>
      <c r="D617">
        <f>'Shipment Data for Provisioning'!E622</f>
        <v>0</v>
      </c>
      <c r="E617">
        <f>'Shipment Data for Provisioning'!F622</f>
        <v>0</v>
      </c>
      <c r="F617">
        <f>'Shipment Data for Provisioning'!G622</f>
        <v>0</v>
      </c>
      <c r="G617">
        <f>'Shipment Data for Provisioning'!H622</f>
        <v>0</v>
      </c>
      <c r="H617">
        <f>'Shipment Data for Provisioning'!I622</f>
        <v>0</v>
      </c>
      <c r="I617" t="e">
        <f>VLOOKUP(B617,'Location Data'!$C$5:$G$1004,4,FALSE)</f>
        <v>#N/A</v>
      </c>
      <c r="J617" t="e">
        <f>VLOOKUP(B617,'Location Data'!$C$5:$G$1004,5,FALSE)</f>
        <v>#N/A</v>
      </c>
      <c r="K617" t="e">
        <f>VLOOKUP(C617,'Location Data'!$C$5:$G$1004,4,FALSE)</f>
        <v>#N/A</v>
      </c>
      <c r="L617" t="e">
        <f>VLOOKUP(C617,'Location Data'!$C$5:$G$1004,5,FALSE)</f>
        <v>#N/A</v>
      </c>
    </row>
    <row r="618" spans="1:12" x14ac:dyDescent="0.2">
      <c r="A618">
        <f>'Shipment Data for Provisioning'!B623</f>
        <v>0</v>
      </c>
      <c r="B618">
        <f>'Shipment Data for Provisioning'!C623</f>
        <v>0</v>
      </c>
      <c r="C618">
        <f>'Shipment Data for Provisioning'!D623</f>
        <v>0</v>
      </c>
      <c r="D618">
        <f>'Shipment Data for Provisioning'!E623</f>
        <v>0</v>
      </c>
      <c r="E618">
        <f>'Shipment Data for Provisioning'!F623</f>
        <v>0</v>
      </c>
      <c r="F618">
        <f>'Shipment Data for Provisioning'!G623</f>
        <v>0</v>
      </c>
      <c r="G618">
        <f>'Shipment Data for Provisioning'!H623</f>
        <v>0</v>
      </c>
      <c r="H618">
        <f>'Shipment Data for Provisioning'!I623</f>
        <v>0</v>
      </c>
      <c r="I618" t="e">
        <f>VLOOKUP(B618,'Location Data'!$C$5:$G$1004,4,FALSE)</f>
        <v>#N/A</v>
      </c>
      <c r="J618" t="e">
        <f>VLOOKUP(B618,'Location Data'!$C$5:$G$1004,5,FALSE)</f>
        <v>#N/A</v>
      </c>
      <c r="K618" t="e">
        <f>VLOOKUP(C618,'Location Data'!$C$5:$G$1004,4,FALSE)</f>
        <v>#N/A</v>
      </c>
      <c r="L618" t="e">
        <f>VLOOKUP(C618,'Location Data'!$C$5:$G$1004,5,FALSE)</f>
        <v>#N/A</v>
      </c>
    </row>
    <row r="619" spans="1:12" x14ac:dyDescent="0.2">
      <c r="A619">
        <f>'Shipment Data for Provisioning'!B624</f>
        <v>0</v>
      </c>
      <c r="B619">
        <f>'Shipment Data for Provisioning'!C624</f>
        <v>0</v>
      </c>
      <c r="C619">
        <f>'Shipment Data for Provisioning'!D624</f>
        <v>0</v>
      </c>
      <c r="D619">
        <f>'Shipment Data for Provisioning'!E624</f>
        <v>0</v>
      </c>
      <c r="E619">
        <f>'Shipment Data for Provisioning'!F624</f>
        <v>0</v>
      </c>
      <c r="F619">
        <f>'Shipment Data for Provisioning'!G624</f>
        <v>0</v>
      </c>
      <c r="G619">
        <f>'Shipment Data for Provisioning'!H624</f>
        <v>0</v>
      </c>
      <c r="H619">
        <f>'Shipment Data for Provisioning'!I624</f>
        <v>0</v>
      </c>
      <c r="I619" t="e">
        <f>VLOOKUP(B619,'Location Data'!$C$5:$G$1004,4,FALSE)</f>
        <v>#N/A</v>
      </c>
      <c r="J619" t="e">
        <f>VLOOKUP(B619,'Location Data'!$C$5:$G$1004,5,FALSE)</f>
        <v>#N/A</v>
      </c>
      <c r="K619" t="e">
        <f>VLOOKUP(C619,'Location Data'!$C$5:$G$1004,4,FALSE)</f>
        <v>#N/A</v>
      </c>
      <c r="L619" t="e">
        <f>VLOOKUP(C619,'Location Data'!$C$5:$G$1004,5,FALSE)</f>
        <v>#N/A</v>
      </c>
    </row>
    <row r="620" spans="1:12" x14ac:dyDescent="0.2">
      <c r="A620">
        <f>'Shipment Data for Provisioning'!B625</f>
        <v>0</v>
      </c>
      <c r="B620">
        <f>'Shipment Data for Provisioning'!C625</f>
        <v>0</v>
      </c>
      <c r="C620">
        <f>'Shipment Data for Provisioning'!D625</f>
        <v>0</v>
      </c>
      <c r="D620">
        <f>'Shipment Data for Provisioning'!E625</f>
        <v>0</v>
      </c>
      <c r="E620">
        <f>'Shipment Data for Provisioning'!F625</f>
        <v>0</v>
      </c>
      <c r="F620">
        <f>'Shipment Data for Provisioning'!G625</f>
        <v>0</v>
      </c>
      <c r="G620">
        <f>'Shipment Data for Provisioning'!H625</f>
        <v>0</v>
      </c>
      <c r="H620">
        <f>'Shipment Data for Provisioning'!I625</f>
        <v>0</v>
      </c>
      <c r="I620" t="e">
        <f>VLOOKUP(B620,'Location Data'!$C$5:$G$1004,4,FALSE)</f>
        <v>#N/A</v>
      </c>
      <c r="J620" t="e">
        <f>VLOOKUP(B620,'Location Data'!$C$5:$G$1004,5,FALSE)</f>
        <v>#N/A</v>
      </c>
      <c r="K620" t="e">
        <f>VLOOKUP(C620,'Location Data'!$C$5:$G$1004,4,FALSE)</f>
        <v>#N/A</v>
      </c>
      <c r="L620" t="e">
        <f>VLOOKUP(C620,'Location Data'!$C$5:$G$1004,5,FALSE)</f>
        <v>#N/A</v>
      </c>
    </row>
    <row r="621" spans="1:12" x14ac:dyDescent="0.2">
      <c r="A621">
        <f>'Shipment Data for Provisioning'!B626</f>
        <v>0</v>
      </c>
      <c r="B621">
        <f>'Shipment Data for Provisioning'!C626</f>
        <v>0</v>
      </c>
      <c r="C621">
        <f>'Shipment Data for Provisioning'!D626</f>
        <v>0</v>
      </c>
      <c r="D621">
        <f>'Shipment Data for Provisioning'!E626</f>
        <v>0</v>
      </c>
      <c r="E621">
        <f>'Shipment Data for Provisioning'!F626</f>
        <v>0</v>
      </c>
      <c r="F621">
        <f>'Shipment Data for Provisioning'!G626</f>
        <v>0</v>
      </c>
      <c r="G621">
        <f>'Shipment Data for Provisioning'!H626</f>
        <v>0</v>
      </c>
      <c r="H621">
        <f>'Shipment Data for Provisioning'!I626</f>
        <v>0</v>
      </c>
      <c r="I621" t="e">
        <f>VLOOKUP(B621,'Location Data'!$C$5:$G$1004,4,FALSE)</f>
        <v>#N/A</v>
      </c>
      <c r="J621" t="e">
        <f>VLOOKUP(B621,'Location Data'!$C$5:$G$1004,5,FALSE)</f>
        <v>#N/A</v>
      </c>
      <c r="K621" t="e">
        <f>VLOOKUP(C621,'Location Data'!$C$5:$G$1004,4,FALSE)</f>
        <v>#N/A</v>
      </c>
      <c r="L621" t="e">
        <f>VLOOKUP(C621,'Location Data'!$C$5:$G$1004,5,FALSE)</f>
        <v>#N/A</v>
      </c>
    </row>
    <row r="622" spans="1:12" x14ac:dyDescent="0.2">
      <c r="A622">
        <f>'Shipment Data for Provisioning'!B627</f>
        <v>0</v>
      </c>
      <c r="B622">
        <f>'Shipment Data for Provisioning'!C627</f>
        <v>0</v>
      </c>
      <c r="C622">
        <f>'Shipment Data for Provisioning'!D627</f>
        <v>0</v>
      </c>
      <c r="D622">
        <f>'Shipment Data for Provisioning'!E627</f>
        <v>0</v>
      </c>
      <c r="E622">
        <f>'Shipment Data for Provisioning'!F627</f>
        <v>0</v>
      </c>
      <c r="F622">
        <f>'Shipment Data for Provisioning'!G627</f>
        <v>0</v>
      </c>
      <c r="G622">
        <f>'Shipment Data for Provisioning'!H627</f>
        <v>0</v>
      </c>
      <c r="H622">
        <f>'Shipment Data for Provisioning'!I627</f>
        <v>0</v>
      </c>
      <c r="I622" t="e">
        <f>VLOOKUP(B622,'Location Data'!$C$5:$G$1004,4,FALSE)</f>
        <v>#N/A</v>
      </c>
      <c r="J622" t="e">
        <f>VLOOKUP(B622,'Location Data'!$C$5:$G$1004,5,FALSE)</f>
        <v>#N/A</v>
      </c>
      <c r="K622" t="e">
        <f>VLOOKUP(C622,'Location Data'!$C$5:$G$1004,4,FALSE)</f>
        <v>#N/A</v>
      </c>
      <c r="L622" t="e">
        <f>VLOOKUP(C622,'Location Data'!$C$5:$G$1004,5,FALSE)</f>
        <v>#N/A</v>
      </c>
    </row>
    <row r="623" spans="1:12" x14ac:dyDescent="0.2">
      <c r="A623">
        <f>'Shipment Data for Provisioning'!B628</f>
        <v>0</v>
      </c>
      <c r="B623">
        <f>'Shipment Data for Provisioning'!C628</f>
        <v>0</v>
      </c>
      <c r="C623">
        <f>'Shipment Data for Provisioning'!D628</f>
        <v>0</v>
      </c>
      <c r="D623">
        <f>'Shipment Data for Provisioning'!E628</f>
        <v>0</v>
      </c>
      <c r="E623">
        <f>'Shipment Data for Provisioning'!F628</f>
        <v>0</v>
      </c>
      <c r="F623">
        <f>'Shipment Data for Provisioning'!G628</f>
        <v>0</v>
      </c>
      <c r="G623">
        <f>'Shipment Data for Provisioning'!H628</f>
        <v>0</v>
      </c>
      <c r="H623">
        <f>'Shipment Data for Provisioning'!I628</f>
        <v>0</v>
      </c>
      <c r="I623" t="e">
        <f>VLOOKUP(B623,'Location Data'!$C$5:$G$1004,4,FALSE)</f>
        <v>#N/A</v>
      </c>
      <c r="J623" t="e">
        <f>VLOOKUP(B623,'Location Data'!$C$5:$G$1004,5,FALSE)</f>
        <v>#N/A</v>
      </c>
      <c r="K623" t="e">
        <f>VLOOKUP(C623,'Location Data'!$C$5:$G$1004,4,FALSE)</f>
        <v>#N/A</v>
      </c>
      <c r="L623" t="e">
        <f>VLOOKUP(C623,'Location Data'!$C$5:$G$1004,5,FALSE)</f>
        <v>#N/A</v>
      </c>
    </row>
    <row r="624" spans="1:12" x14ac:dyDescent="0.2">
      <c r="A624">
        <f>'Shipment Data for Provisioning'!B629</f>
        <v>0</v>
      </c>
      <c r="B624">
        <f>'Shipment Data for Provisioning'!C629</f>
        <v>0</v>
      </c>
      <c r="C624">
        <f>'Shipment Data for Provisioning'!D629</f>
        <v>0</v>
      </c>
      <c r="D624">
        <f>'Shipment Data for Provisioning'!E629</f>
        <v>0</v>
      </c>
      <c r="E624">
        <f>'Shipment Data for Provisioning'!F629</f>
        <v>0</v>
      </c>
      <c r="F624">
        <f>'Shipment Data for Provisioning'!G629</f>
        <v>0</v>
      </c>
      <c r="G624">
        <f>'Shipment Data for Provisioning'!H629</f>
        <v>0</v>
      </c>
      <c r="H624">
        <f>'Shipment Data for Provisioning'!I629</f>
        <v>0</v>
      </c>
      <c r="I624" t="e">
        <f>VLOOKUP(B624,'Location Data'!$C$5:$G$1004,4,FALSE)</f>
        <v>#N/A</v>
      </c>
      <c r="J624" t="e">
        <f>VLOOKUP(B624,'Location Data'!$C$5:$G$1004,5,FALSE)</f>
        <v>#N/A</v>
      </c>
      <c r="K624" t="e">
        <f>VLOOKUP(C624,'Location Data'!$C$5:$G$1004,4,FALSE)</f>
        <v>#N/A</v>
      </c>
      <c r="L624" t="e">
        <f>VLOOKUP(C624,'Location Data'!$C$5:$G$1004,5,FALSE)</f>
        <v>#N/A</v>
      </c>
    </row>
    <row r="625" spans="1:12" x14ac:dyDescent="0.2">
      <c r="A625">
        <f>'Shipment Data for Provisioning'!B630</f>
        <v>0</v>
      </c>
      <c r="B625">
        <f>'Shipment Data for Provisioning'!C630</f>
        <v>0</v>
      </c>
      <c r="C625">
        <f>'Shipment Data for Provisioning'!D630</f>
        <v>0</v>
      </c>
      <c r="D625">
        <f>'Shipment Data for Provisioning'!E630</f>
        <v>0</v>
      </c>
      <c r="E625">
        <f>'Shipment Data for Provisioning'!F630</f>
        <v>0</v>
      </c>
      <c r="F625">
        <f>'Shipment Data for Provisioning'!G630</f>
        <v>0</v>
      </c>
      <c r="G625">
        <f>'Shipment Data for Provisioning'!H630</f>
        <v>0</v>
      </c>
      <c r="H625">
        <f>'Shipment Data for Provisioning'!I630</f>
        <v>0</v>
      </c>
      <c r="I625" t="e">
        <f>VLOOKUP(B625,'Location Data'!$C$5:$G$1004,4,FALSE)</f>
        <v>#N/A</v>
      </c>
      <c r="J625" t="e">
        <f>VLOOKUP(B625,'Location Data'!$C$5:$G$1004,5,FALSE)</f>
        <v>#N/A</v>
      </c>
      <c r="K625" t="e">
        <f>VLOOKUP(C625,'Location Data'!$C$5:$G$1004,4,FALSE)</f>
        <v>#N/A</v>
      </c>
      <c r="L625" t="e">
        <f>VLOOKUP(C625,'Location Data'!$C$5:$G$1004,5,FALSE)</f>
        <v>#N/A</v>
      </c>
    </row>
    <row r="626" spans="1:12" x14ac:dyDescent="0.2">
      <c r="A626">
        <f>'Shipment Data for Provisioning'!B631</f>
        <v>0</v>
      </c>
      <c r="B626">
        <f>'Shipment Data for Provisioning'!C631</f>
        <v>0</v>
      </c>
      <c r="C626">
        <f>'Shipment Data for Provisioning'!D631</f>
        <v>0</v>
      </c>
      <c r="D626">
        <f>'Shipment Data for Provisioning'!E631</f>
        <v>0</v>
      </c>
      <c r="E626">
        <f>'Shipment Data for Provisioning'!F631</f>
        <v>0</v>
      </c>
      <c r="F626">
        <f>'Shipment Data for Provisioning'!G631</f>
        <v>0</v>
      </c>
      <c r="G626">
        <f>'Shipment Data for Provisioning'!H631</f>
        <v>0</v>
      </c>
      <c r="H626">
        <f>'Shipment Data for Provisioning'!I631</f>
        <v>0</v>
      </c>
      <c r="I626" t="e">
        <f>VLOOKUP(B626,'Location Data'!$C$5:$G$1004,4,FALSE)</f>
        <v>#N/A</v>
      </c>
      <c r="J626" t="e">
        <f>VLOOKUP(B626,'Location Data'!$C$5:$G$1004,5,FALSE)</f>
        <v>#N/A</v>
      </c>
      <c r="K626" t="e">
        <f>VLOOKUP(C626,'Location Data'!$C$5:$G$1004,4,FALSE)</f>
        <v>#N/A</v>
      </c>
      <c r="L626" t="e">
        <f>VLOOKUP(C626,'Location Data'!$C$5:$G$1004,5,FALSE)</f>
        <v>#N/A</v>
      </c>
    </row>
    <row r="627" spans="1:12" x14ac:dyDescent="0.2">
      <c r="A627">
        <f>'Shipment Data for Provisioning'!B632</f>
        <v>0</v>
      </c>
      <c r="B627">
        <f>'Shipment Data for Provisioning'!C632</f>
        <v>0</v>
      </c>
      <c r="C627">
        <f>'Shipment Data for Provisioning'!D632</f>
        <v>0</v>
      </c>
      <c r="D627">
        <f>'Shipment Data for Provisioning'!E632</f>
        <v>0</v>
      </c>
      <c r="E627">
        <f>'Shipment Data for Provisioning'!F632</f>
        <v>0</v>
      </c>
      <c r="F627">
        <f>'Shipment Data for Provisioning'!G632</f>
        <v>0</v>
      </c>
      <c r="G627">
        <f>'Shipment Data for Provisioning'!H632</f>
        <v>0</v>
      </c>
      <c r="H627">
        <f>'Shipment Data for Provisioning'!I632</f>
        <v>0</v>
      </c>
      <c r="I627" t="e">
        <f>VLOOKUP(B627,'Location Data'!$C$5:$G$1004,4,FALSE)</f>
        <v>#N/A</v>
      </c>
      <c r="J627" t="e">
        <f>VLOOKUP(B627,'Location Data'!$C$5:$G$1004,5,FALSE)</f>
        <v>#N/A</v>
      </c>
      <c r="K627" t="e">
        <f>VLOOKUP(C627,'Location Data'!$C$5:$G$1004,4,FALSE)</f>
        <v>#N/A</v>
      </c>
      <c r="L627" t="e">
        <f>VLOOKUP(C627,'Location Data'!$C$5:$G$1004,5,FALSE)</f>
        <v>#N/A</v>
      </c>
    </row>
    <row r="628" spans="1:12" x14ac:dyDescent="0.2">
      <c r="A628">
        <f>'Shipment Data for Provisioning'!B633</f>
        <v>0</v>
      </c>
      <c r="B628">
        <f>'Shipment Data for Provisioning'!C633</f>
        <v>0</v>
      </c>
      <c r="C628">
        <f>'Shipment Data for Provisioning'!D633</f>
        <v>0</v>
      </c>
      <c r="D628">
        <f>'Shipment Data for Provisioning'!E633</f>
        <v>0</v>
      </c>
      <c r="E628">
        <f>'Shipment Data for Provisioning'!F633</f>
        <v>0</v>
      </c>
      <c r="F628">
        <f>'Shipment Data for Provisioning'!G633</f>
        <v>0</v>
      </c>
      <c r="G628">
        <f>'Shipment Data for Provisioning'!H633</f>
        <v>0</v>
      </c>
      <c r="H628">
        <f>'Shipment Data for Provisioning'!I633</f>
        <v>0</v>
      </c>
      <c r="I628" t="e">
        <f>VLOOKUP(B628,'Location Data'!$C$5:$G$1004,4,FALSE)</f>
        <v>#N/A</v>
      </c>
      <c r="J628" t="e">
        <f>VLOOKUP(B628,'Location Data'!$C$5:$G$1004,5,FALSE)</f>
        <v>#N/A</v>
      </c>
      <c r="K628" t="e">
        <f>VLOOKUP(C628,'Location Data'!$C$5:$G$1004,4,FALSE)</f>
        <v>#N/A</v>
      </c>
      <c r="L628" t="e">
        <f>VLOOKUP(C628,'Location Data'!$C$5:$G$1004,5,FALSE)</f>
        <v>#N/A</v>
      </c>
    </row>
    <row r="629" spans="1:12" x14ac:dyDescent="0.2">
      <c r="A629">
        <f>'Shipment Data for Provisioning'!B634</f>
        <v>0</v>
      </c>
      <c r="B629">
        <f>'Shipment Data for Provisioning'!C634</f>
        <v>0</v>
      </c>
      <c r="C629">
        <f>'Shipment Data for Provisioning'!D634</f>
        <v>0</v>
      </c>
      <c r="D629">
        <f>'Shipment Data for Provisioning'!E634</f>
        <v>0</v>
      </c>
      <c r="E629">
        <f>'Shipment Data for Provisioning'!F634</f>
        <v>0</v>
      </c>
      <c r="F629">
        <f>'Shipment Data for Provisioning'!G634</f>
        <v>0</v>
      </c>
      <c r="G629">
        <f>'Shipment Data for Provisioning'!H634</f>
        <v>0</v>
      </c>
      <c r="H629">
        <f>'Shipment Data for Provisioning'!I634</f>
        <v>0</v>
      </c>
      <c r="I629" t="e">
        <f>VLOOKUP(B629,'Location Data'!$C$5:$G$1004,4,FALSE)</f>
        <v>#N/A</v>
      </c>
      <c r="J629" t="e">
        <f>VLOOKUP(B629,'Location Data'!$C$5:$G$1004,5,FALSE)</f>
        <v>#N/A</v>
      </c>
      <c r="K629" t="e">
        <f>VLOOKUP(C629,'Location Data'!$C$5:$G$1004,4,FALSE)</f>
        <v>#N/A</v>
      </c>
      <c r="L629" t="e">
        <f>VLOOKUP(C629,'Location Data'!$C$5:$G$1004,5,FALSE)</f>
        <v>#N/A</v>
      </c>
    </row>
    <row r="630" spans="1:12" x14ac:dyDescent="0.2">
      <c r="A630">
        <f>'Shipment Data for Provisioning'!B635</f>
        <v>0</v>
      </c>
      <c r="B630">
        <f>'Shipment Data for Provisioning'!C635</f>
        <v>0</v>
      </c>
      <c r="C630">
        <f>'Shipment Data for Provisioning'!D635</f>
        <v>0</v>
      </c>
      <c r="D630">
        <f>'Shipment Data for Provisioning'!E635</f>
        <v>0</v>
      </c>
      <c r="E630">
        <f>'Shipment Data for Provisioning'!F635</f>
        <v>0</v>
      </c>
      <c r="F630">
        <f>'Shipment Data for Provisioning'!G635</f>
        <v>0</v>
      </c>
      <c r="G630">
        <f>'Shipment Data for Provisioning'!H635</f>
        <v>0</v>
      </c>
      <c r="H630">
        <f>'Shipment Data for Provisioning'!I635</f>
        <v>0</v>
      </c>
      <c r="I630" t="e">
        <f>VLOOKUP(B630,'Location Data'!$C$5:$G$1004,4,FALSE)</f>
        <v>#N/A</v>
      </c>
      <c r="J630" t="e">
        <f>VLOOKUP(B630,'Location Data'!$C$5:$G$1004,5,FALSE)</f>
        <v>#N/A</v>
      </c>
      <c r="K630" t="e">
        <f>VLOOKUP(C630,'Location Data'!$C$5:$G$1004,4,FALSE)</f>
        <v>#N/A</v>
      </c>
      <c r="L630" t="e">
        <f>VLOOKUP(C630,'Location Data'!$C$5:$G$1004,5,FALSE)</f>
        <v>#N/A</v>
      </c>
    </row>
    <row r="631" spans="1:12" x14ac:dyDescent="0.2">
      <c r="A631">
        <f>'Shipment Data for Provisioning'!B636</f>
        <v>0</v>
      </c>
      <c r="B631">
        <f>'Shipment Data for Provisioning'!C636</f>
        <v>0</v>
      </c>
      <c r="C631">
        <f>'Shipment Data for Provisioning'!D636</f>
        <v>0</v>
      </c>
      <c r="D631">
        <f>'Shipment Data for Provisioning'!E636</f>
        <v>0</v>
      </c>
      <c r="E631">
        <f>'Shipment Data for Provisioning'!F636</f>
        <v>0</v>
      </c>
      <c r="F631">
        <f>'Shipment Data for Provisioning'!G636</f>
        <v>0</v>
      </c>
      <c r="G631">
        <f>'Shipment Data for Provisioning'!H636</f>
        <v>0</v>
      </c>
      <c r="H631">
        <f>'Shipment Data for Provisioning'!I636</f>
        <v>0</v>
      </c>
      <c r="I631" t="e">
        <f>VLOOKUP(B631,'Location Data'!$C$5:$G$1004,4,FALSE)</f>
        <v>#N/A</v>
      </c>
      <c r="J631" t="e">
        <f>VLOOKUP(B631,'Location Data'!$C$5:$G$1004,5,FALSE)</f>
        <v>#N/A</v>
      </c>
      <c r="K631" t="e">
        <f>VLOOKUP(C631,'Location Data'!$C$5:$G$1004,4,FALSE)</f>
        <v>#N/A</v>
      </c>
      <c r="L631" t="e">
        <f>VLOOKUP(C631,'Location Data'!$C$5:$G$1004,5,FALSE)</f>
        <v>#N/A</v>
      </c>
    </row>
    <row r="632" spans="1:12" x14ac:dyDescent="0.2">
      <c r="A632">
        <f>'Shipment Data for Provisioning'!B637</f>
        <v>0</v>
      </c>
      <c r="B632">
        <f>'Shipment Data for Provisioning'!C637</f>
        <v>0</v>
      </c>
      <c r="C632">
        <f>'Shipment Data for Provisioning'!D637</f>
        <v>0</v>
      </c>
      <c r="D632">
        <f>'Shipment Data for Provisioning'!E637</f>
        <v>0</v>
      </c>
      <c r="E632">
        <f>'Shipment Data for Provisioning'!F637</f>
        <v>0</v>
      </c>
      <c r="F632">
        <f>'Shipment Data for Provisioning'!G637</f>
        <v>0</v>
      </c>
      <c r="G632">
        <f>'Shipment Data for Provisioning'!H637</f>
        <v>0</v>
      </c>
      <c r="H632">
        <f>'Shipment Data for Provisioning'!I637</f>
        <v>0</v>
      </c>
      <c r="I632" t="e">
        <f>VLOOKUP(B632,'Location Data'!$C$5:$G$1004,4,FALSE)</f>
        <v>#N/A</v>
      </c>
      <c r="J632" t="e">
        <f>VLOOKUP(B632,'Location Data'!$C$5:$G$1004,5,FALSE)</f>
        <v>#N/A</v>
      </c>
      <c r="K632" t="e">
        <f>VLOOKUP(C632,'Location Data'!$C$5:$G$1004,4,FALSE)</f>
        <v>#N/A</v>
      </c>
      <c r="L632" t="e">
        <f>VLOOKUP(C632,'Location Data'!$C$5:$G$1004,5,FALSE)</f>
        <v>#N/A</v>
      </c>
    </row>
    <row r="633" spans="1:12" x14ac:dyDescent="0.2">
      <c r="A633">
        <f>'Shipment Data for Provisioning'!B638</f>
        <v>0</v>
      </c>
      <c r="B633">
        <f>'Shipment Data for Provisioning'!C638</f>
        <v>0</v>
      </c>
      <c r="C633">
        <f>'Shipment Data for Provisioning'!D638</f>
        <v>0</v>
      </c>
      <c r="D633">
        <f>'Shipment Data for Provisioning'!E638</f>
        <v>0</v>
      </c>
      <c r="E633">
        <f>'Shipment Data for Provisioning'!F638</f>
        <v>0</v>
      </c>
      <c r="F633">
        <f>'Shipment Data for Provisioning'!G638</f>
        <v>0</v>
      </c>
      <c r="G633">
        <f>'Shipment Data for Provisioning'!H638</f>
        <v>0</v>
      </c>
      <c r="H633">
        <f>'Shipment Data for Provisioning'!I638</f>
        <v>0</v>
      </c>
      <c r="I633" t="e">
        <f>VLOOKUP(B633,'Location Data'!$C$5:$G$1004,4,FALSE)</f>
        <v>#N/A</v>
      </c>
      <c r="J633" t="e">
        <f>VLOOKUP(B633,'Location Data'!$C$5:$G$1004,5,FALSE)</f>
        <v>#N/A</v>
      </c>
      <c r="K633" t="e">
        <f>VLOOKUP(C633,'Location Data'!$C$5:$G$1004,4,FALSE)</f>
        <v>#N/A</v>
      </c>
      <c r="L633" t="e">
        <f>VLOOKUP(C633,'Location Data'!$C$5:$G$1004,5,FALSE)</f>
        <v>#N/A</v>
      </c>
    </row>
    <row r="634" spans="1:12" x14ac:dyDescent="0.2">
      <c r="A634">
        <f>'Shipment Data for Provisioning'!B639</f>
        <v>0</v>
      </c>
      <c r="B634">
        <f>'Shipment Data for Provisioning'!C639</f>
        <v>0</v>
      </c>
      <c r="C634">
        <f>'Shipment Data for Provisioning'!D639</f>
        <v>0</v>
      </c>
      <c r="D634">
        <f>'Shipment Data for Provisioning'!E639</f>
        <v>0</v>
      </c>
      <c r="E634">
        <f>'Shipment Data for Provisioning'!F639</f>
        <v>0</v>
      </c>
      <c r="F634">
        <f>'Shipment Data for Provisioning'!G639</f>
        <v>0</v>
      </c>
      <c r="G634">
        <f>'Shipment Data for Provisioning'!H639</f>
        <v>0</v>
      </c>
      <c r="H634">
        <f>'Shipment Data for Provisioning'!I639</f>
        <v>0</v>
      </c>
      <c r="I634" t="e">
        <f>VLOOKUP(B634,'Location Data'!$C$5:$G$1004,4,FALSE)</f>
        <v>#N/A</v>
      </c>
      <c r="J634" t="e">
        <f>VLOOKUP(B634,'Location Data'!$C$5:$G$1004,5,FALSE)</f>
        <v>#N/A</v>
      </c>
      <c r="K634" t="e">
        <f>VLOOKUP(C634,'Location Data'!$C$5:$G$1004,4,FALSE)</f>
        <v>#N/A</v>
      </c>
      <c r="L634" t="e">
        <f>VLOOKUP(C634,'Location Data'!$C$5:$G$1004,5,FALSE)</f>
        <v>#N/A</v>
      </c>
    </row>
    <row r="635" spans="1:12" x14ac:dyDescent="0.2">
      <c r="A635">
        <f>'Shipment Data for Provisioning'!B640</f>
        <v>0</v>
      </c>
      <c r="B635">
        <f>'Shipment Data for Provisioning'!C640</f>
        <v>0</v>
      </c>
      <c r="C635">
        <f>'Shipment Data for Provisioning'!D640</f>
        <v>0</v>
      </c>
      <c r="D635">
        <f>'Shipment Data for Provisioning'!E640</f>
        <v>0</v>
      </c>
      <c r="E635">
        <f>'Shipment Data for Provisioning'!F640</f>
        <v>0</v>
      </c>
      <c r="F635">
        <f>'Shipment Data for Provisioning'!G640</f>
        <v>0</v>
      </c>
      <c r="G635">
        <f>'Shipment Data for Provisioning'!H640</f>
        <v>0</v>
      </c>
      <c r="H635">
        <f>'Shipment Data for Provisioning'!I640</f>
        <v>0</v>
      </c>
      <c r="I635" t="e">
        <f>VLOOKUP(B635,'Location Data'!$C$5:$G$1004,4,FALSE)</f>
        <v>#N/A</v>
      </c>
      <c r="J635" t="e">
        <f>VLOOKUP(B635,'Location Data'!$C$5:$G$1004,5,FALSE)</f>
        <v>#N/A</v>
      </c>
      <c r="K635" t="e">
        <f>VLOOKUP(C635,'Location Data'!$C$5:$G$1004,4,FALSE)</f>
        <v>#N/A</v>
      </c>
      <c r="L635" t="e">
        <f>VLOOKUP(C635,'Location Data'!$C$5:$G$1004,5,FALSE)</f>
        <v>#N/A</v>
      </c>
    </row>
    <row r="636" spans="1:12" x14ac:dyDescent="0.2">
      <c r="A636">
        <f>'Shipment Data for Provisioning'!B641</f>
        <v>0</v>
      </c>
      <c r="B636">
        <f>'Shipment Data for Provisioning'!C641</f>
        <v>0</v>
      </c>
      <c r="C636">
        <f>'Shipment Data for Provisioning'!D641</f>
        <v>0</v>
      </c>
      <c r="D636">
        <f>'Shipment Data for Provisioning'!E641</f>
        <v>0</v>
      </c>
      <c r="E636">
        <f>'Shipment Data for Provisioning'!F641</f>
        <v>0</v>
      </c>
      <c r="F636">
        <f>'Shipment Data for Provisioning'!G641</f>
        <v>0</v>
      </c>
      <c r="G636">
        <f>'Shipment Data for Provisioning'!H641</f>
        <v>0</v>
      </c>
      <c r="H636">
        <f>'Shipment Data for Provisioning'!I641</f>
        <v>0</v>
      </c>
      <c r="I636" t="e">
        <f>VLOOKUP(B636,'Location Data'!$C$5:$G$1004,4,FALSE)</f>
        <v>#N/A</v>
      </c>
      <c r="J636" t="e">
        <f>VLOOKUP(B636,'Location Data'!$C$5:$G$1004,5,FALSE)</f>
        <v>#N/A</v>
      </c>
      <c r="K636" t="e">
        <f>VLOOKUP(C636,'Location Data'!$C$5:$G$1004,4,FALSE)</f>
        <v>#N/A</v>
      </c>
      <c r="L636" t="e">
        <f>VLOOKUP(C636,'Location Data'!$C$5:$G$1004,5,FALSE)</f>
        <v>#N/A</v>
      </c>
    </row>
    <row r="637" spans="1:12" x14ac:dyDescent="0.2">
      <c r="A637">
        <f>'Shipment Data for Provisioning'!B642</f>
        <v>0</v>
      </c>
      <c r="B637">
        <f>'Shipment Data for Provisioning'!C642</f>
        <v>0</v>
      </c>
      <c r="C637">
        <f>'Shipment Data for Provisioning'!D642</f>
        <v>0</v>
      </c>
      <c r="D637">
        <f>'Shipment Data for Provisioning'!E642</f>
        <v>0</v>
      </c>
      <c r="E637">
        <f>'Shipment Data for Provisioning'!F642</f>
        <v>0</v>
      </c>
      <c r="F637">
        <f>'Shipment Data for Provisioning'!G642</f>
        <v>0</v>
      </c>
      <c r="G637">
        <f>'Shipment Data for Provisioning'!H642</f>
        <v>0</v>
      </c>
      <c r="H637">
        <f>'Shipment Data for Provisioning'!I642</f>
        <v>0</v>
      </c>
      <c r="I637" t="e">
        <f>VLOOKUP(B637,'Location Data'!$C$5:$G$1004,4,FALSE)</f>
        <v>#N/A</v>
      </c>
      <c r="J637" t="e">
        <f>VLOOKUP(B637,'Location Data'!$C$5:$G$1004,5,FALSE)</f>
        <v>#N/A</v>
      </c>
      <c r="K637" t="e">
        <f>VLOOKUP(C637,'Location Data'!$C$5:$G$1004,4,FALSE)</f>
        <v>#N/A</v>
      </c>
      <c r="L637" t="e">
        <f>VLOOKUP(C637,'Location Data'!$C$5:$G$1004,5,FALSE)</f>
        <v>#N/A</v>
      </c>
    </row>
    <row r="638" spans="1:12" x14ac:dyDescent="0.2">
      <c r="A638">
        <f>'Shipment Data for Provisioning'!B643</f>
        <v>0</v>
      </c>
      <c r="B638">
        <f>'Shipment Data for Provisioning'!C643</f>
        <v>0</v>
      </c>
      <c r="C638">
        <f>'Shipment Data for Provisioning'!D643</f>
        <v>0</v>
      </c>
      <c r="D638">
        <f>'Shipment Data for Provisioning'!E643</f>
        <v>0</v>
      </c>
      <c r="E638">
        <f>'Shipment Data for Provisioning'!F643</f>
        <v>0</v>
      </c>
      <c r="F638">
        <f>'Shipment Data for Provisioning'!G643</f>
        <v>0</v>
      </c>
      <c r="G638">
        <f>'Shipment Data for Provisioning'!H643</f>
        <v>0</v>
      </c>
      <c r="H638">
        <f>'Shipment Data for Provisioning'!I643</f>
        <v>0</v>
      </c>
      <c r="I638" t="e">
        <f>VLOOKUP(B638,'Location Data'!$C$5:$G$1004,4,FALSE)</f>
        <v>#N/A</v>
      </c>
      <c r="J638" t="e">
        <f>VLOOKUP(B638,'Location Data'!$C$5:$G$1004,5,FALSE)</f>
        <v>#N/A</v>
      </c>
      <c r="K638" t="e">
        <f>VLOOKUP(C638,'Location Data'!$C$5:$G$1004,4,FALSE)</f>
        <v>#N/A</v>
      </c>
      <c r="L638" t="e">
        <f>VLOOKUP(C638,'Location Data'!$C$5:$G$1004,5,FALSE)</f>
        <v>#N/A</v>
      </c>
    </row>
    <row r="639" spans="1:12" x14ac:dyDescent="0.2">
      <c r="A639">
        <f>'Shipment Data for Provisioning'!B644</f>
        <v>0</v>
      </c>
      <c r="B639">
        <f>'Shipment Data for Provisioning'!C644</f>
        <v>0</v>
      </c>
      <c r="C639">
        <f>'Shipment Data for Provisioning'!D644</f>
        <v>0</v>
      </c>
      <c r="D639">
        <f>'Shipment Data for Provisioning'!E644</f>
        <v>0</v>
      </c>
      <c r="E639">
        <f>'Shipment Data for Provisioning'!F644</f>
        <v>0</v>
      </c>
      <c r="F639">
        <f>'Shipment Data for Provisioning'!G644</f>
        <v>0</v>
      </c>
      <c r="G639">
        <f>'Shipment Data for Provisioning'!H644</f>
        <v>0</v>
      </c>
      <c r="H639">
        <f>'Shipment Data for Provisioning'!I644</f>
        <v>0</v>
      </c>
      <c r="I639" t="e">
        <f>VLOOKUP(B639,'Location Data'!$C$5:$G$1004,4,FALSE)</f>
        <v>#N/A</v>
      </c>
      <c r="J639" t="e">
        <f>VLOOKUP(B639,'Location Data'!$C$5:$G$1004,5,FALSE)</f>
        <v>#N/A</v>
      </c>
      <c r="K639" t="e">
        <f>VLOOKUP(C639,'Location Data'!$C$5:$G$1004,4,FALSE)</f>
        <v>#N/A</v>
      </c>
      <c r="L639" t="e">
        <f>VLOOKUP(C639,'Location Data'!$C$5:$G$1004,5,FALSE)</f>
        <v>#N/A</v>
      </c>
    </row>
    <row r="640" spans="1:12" x14ac:dyDescent="0.2">
      <c r="A640">
        <f>'Shipment Data for Provisioning'!B645</f>
        <v>0</v>
      </c>
      <c r="B640">
        <f>'Shipment Data for Provisioning'!C645</f>
        <v>0</v>
      </c>
      <c r="C640">
        <f>'Shipment Data for Provisioning'!D645</f>
        <v>0</v>
      </c>
      <c r="D640">
        <f>'Shipment Data for Provisioning'!E645</f>
        <v>0</v>
      </c>
      <c r="E640">
        <f>'Shipment Data for Provisioning'!F645</f>
        <v>0</v>
      </c>
      <c r="F640">
        <f>'Shipment Data for Provisioning'!G645</f>
        <v>0</v>
      </c>
      <c r="G640">
        <f>'Shipment Data for Provisioning'!H645</f>
        <v>0</v>
      </c>
      <c r="H640">
        <f>'Shipment Data for Provisioning'!I645</f>
        <v>0</v>
      </c>
      <c r="I640" t="e">
        <f>VLOOKUP(B640,'Location Data'!$C$5:$G$1004,4,FALSE)</f>
        <v>#N/A</v>
      </c>
      <c r="J640" t="e">
        <f>VLOOKUP(B640,'Location Data'!$C$5:$G$1004,5,FALSE)</f>
        <v>#N/A</v>
      </c>
      <c r="K640" t="e">
        <f>VLOOKUP(C640,'Location Data'!$C$5:$G$1004,4,FALSE)</f>
        <v>#N/A</v>
      </c>
      <c r="L640" t="e">
        <f>VLOOKUP(C640,'Location Data'!$C$5:$G$1004,5,FALSE)</f>
        <v>#N/A</v>
      </c>
    </row>
    <row r="641" spans="1:12" x14ac:dyDescent="0.2">
      <c r="A641">
        <f>'Shipment Data for Provisioning'!B646</f>
        <v>0</v>
      </c>
      <c r="B641">
        <f>'Shipment Data for Provisioning'!C646</f>
        <v>0</v>
      </c>
      <c r="C641">
        <f>'Shipment Data for Provisioning'!D646</f>
        <v>0</v>
      </c>
      <c r="D641">
        <f>'Shipment Data for Provisioning'!E646</f>
        <v>0</v>
      </c>
      <c r="E641">
        <f>'Shipment Data for Provisioning'!F646</f>
        <v>0</v>
      </c>
      <c r="F641">
        <f>'Shipment Data for Provisioning'!G646</f>
        <v>0</v>
      </c>
      <c r="G641">
        <f>'Shipment Data for Provisioning'!H646</f>
        <v>0</v>
      </c>
      <c r="H641">
        <f>'Shipment Data for Provisioning'!I646</f>
        <v>0</v>
      </c>
      <c r="I641" t="e">
        <f>VLOOKUP(B641,'Location Data'!$C$5:$G$1004,4,FALSE)</f>
        <v>#N/A</v>
      </c>
      <c r="J641" t="e">
        <f>VLOOKUP(B641,'Location Data'!$C$5:$G$1004,5,FALSE)</f>
        <v>#N/A</v>
      </c>
      <c r="K641" t="e">
        <f>VLOOKUP(C641,'Location Data'!$C$5:$G$1004,4,FALSE)</f>
        <v>#N/A</v>
      </c>
      <c r="L641" t="e">
        <f>VLOOKUP(C641,'Location Data'!$C$5:$G$1004,5,FALSE)</f>
        <v>#N/A</v>
      </c>
    </row>
    <row r="642" spans="1:12" x14ac:dyDescent="0.2">
      <c r="A642">
        <f>'Shipment Data for Provisioning'!B647</f>
        <v>0</v>
      </c>
      <c r="B642">
        <f>'Shipment Data for Provisioning'!C647</f>
        <v>0</v>
      </c>
      <c r="C642">
        <f>'Shipment Data for Provisioning'!D647</f>
        <v>0</v>
      </c>
      <c r="D642">
        <f>'Shipment Data for Provisioning'!E647</f>
        <v>0</v>
      </c>
      <c r="E642">
        <f>'Shipment Data for Provisioning'!F647</f>
        <v>0</v>
      </c>
      <c r="F642">
        <f>'Shipment Data for Provisioning'!G647</f>
        <v>0</v>
      </c>
      <c r="G642">
        <f>'Shipment Data for Provisioning'!H647</f>
        <v>0</v>
      </c>
      <c r="H642">
        <f>'Shipment Data for Provisioning'!I647</f>
        <v>0</v>
      </c>
      <c r="I642" t="e">
        <f>VLOOKUP(B642,'Location Data'!$C$5:$G$1004,4,FALSE)</f>
        <v>#N/A</v>
      </c>
      <c r="J642" t="e">
        <f>VLOOKUP(B642,'Location Data'!$C$5:$G$1004,5,FALSE)</f>
        <v>#N/A</v>
      </c>
      <c r="K642" t="e">
        <f>VLOOKUP(C642,'Location Data'!$C$5:$G$1004,4,FALSE)</f>
        <v>#N/A</v>
      </c>
      <c r="L642" t="e">
        <f>VLOOKUP(C642,'Location Data'!$C$5:$G$1004,5,FALSE)</f>
        <v>#N/A</v>
      </c>
    </row>
    <row r="643" spans="1:12" x14ac:dyDescent="0.2">
      <c r="A643">
        <f>'Shipment Data for Provisioning'!B648</f>
        <v>0</v>
      </c>
      <c r="B643">
        <f>'Shipment Data for Provisioning'!C648</f>
        <v>0</v>
      </c>
      <c r="C643">
        <f>'Shipment Data for Provisioning'!D648</f>
        <v>0</v>
      </c>
      <c r="D643">
        <f>'Shipment Data for Provisioning'!E648</f>
        <v>0</v>
      </c>
      <c r="E643">
        <f>'Shipment Data for Provisioning'!F648</f>
        <v>0</v>
      </c>
      <c r="F643">
        <f>'Shipment Data for Provisioning'!G648</f>
        <v>0</v>
      </c>
      <c r="G643">
        <f>'Shipment Data for Provisioning'!H648</f>
        <v>0</v>
      </c>
      <c r="H643">
        <f>'Shipment Data for Provisioning'!I648</f>
        <v>0</v>
      </c>
      <c r="I643" t="e">
        <f>VLOOKUP(B643,'Location Data'!$C$5:$G$1004,4,FALSE)</f>
        <v>#N/A</v>
      </c>
      <c r="J643" t="e">
        <f>VLOOKUP(B643,'Location Data'!$C$5:$G$1004,5,FALSE)</f>
        <v>#N/A</v>
      </c>
      <c r="K643" t="e">
        <f>VLOOKUP(C643,'Location Data'!$C$5:$G$1004,4,FALSE)</f>
        <v>#N/A</v>
      </c>
      <c r="L643" t="e">
        <f>VLOOKUP(C643,'Location Data'!$C$5:$G$1004,5,FALSE)</f>
        <v>#N/A</v>
      </c>
    </row>
    <row r="644" spans="1:12" x14ac:dyDescent="0.2">
      <c r="A644">
        <f>'Shipment Data for Provisioning'!B649</f>
        <v>0</v>
      </c>
      <c r="B644">
        <f>'Shipment Data for Provisioning'!C649</f>
        <v>0</v>
      </c>
      <c r="C644">
        <f>'Shipment Data for Provisioning'!D649</f>
        <v>0</v>
      </c>
      <c r="D644">
        <f>'Shipment Data for Provisioning'!E649</f>
        <v>0</v>
      </c>
      <c r="E644">
        <f>'Shipment Data for Provisioning'!F649</f>
        <v>0</v>
      </c>
      <c r="F644">
        <f>'Shipment Data for Provisioning'!G649</f>
        <v>0</v>
      </c>
      <c r="G644">
        <f>'Shipment Data for Provisioning'!H649</f>
        <v>0</v>
      </c>
      <c r="H644">
        <f>'Shipment Data for Provisioning'!I649</f>
        <v>0</v>
      </c>
      <c r="I644" t="e">
        <f>VLOOKUP(B644,'Location Data'!$C$5:$G$1004,4,FALSE)</f>
        <v>#N/A</v>
      </c>
      <c r="J644" t="e">
        <f>VLOOKUP(B644,'Location Data'!$C$5:$G$1004,5,FALSE)</f>
        <v>#N/A</v>
      </c>
      <c r="K644" t="e">
        <f>VLOOKUP(C644,'Location Data'!$C$5:$G$1004,4,FALSE)</f>
        <v>#N/A</v>
      </c>
      <c r="L644" t="e">
        <f>VLOOKUP(C644,'Location Data'!$C$5:$G$1004,5,FALSE)</f>
        <v>#N/A</v>
      </c>
    </row>
    <row r="645" spans="1:12" x14ac:dyDescent="0.2">
      <c r="A645">
        <f>'Shipment Data for Provisioning'!B650</f>
        <v>0</v>
      </c>
      <c r="B645">
        <f>'Shipment Data for Provisioning'!C650</f>
        <v>0</v>
      </c>
      <c r="C645">
        <f>'Shipment Data for Provisioning'!D650</f>
        <v>0</v>
      </c>
      <c r="D645">
        <f>'Shipment Data for Provisioning'!E650</f>
        <v>0</v>
      </c>
      <c r="E645">
        <f>'Shipment Data for Provisioning'!F650</f>
        <v>0</v>
      </c>
      <c r="F645">
        <f>'Shipment Data for Provisioning'!G650</f>
        <v>0</v>
      </c>
      <c r="G645">
        <f>'Shipment Data for Provisioning'!H650</f>
        <v>0</v>
      </c>
      <c r="H645">
        <f>'Shipment Data for Provisioning'!I650</f>
        <v>0</v>
      </c>
      <c r="I645" t="e">
        <f>VLOOKUP(B645,'Location Data'!$C$5:$G$1004,4,FALSE)</f>
        <v>#N/A</v>
      </c>
      <c r="J645" t="e">
        <f>VLOOKUP(B645,'Location Data'!$C$5:$G$1004,5,FALSE)</f>
        <v>#N/A</v>
      </c>
      <c r="K645" t="e">
        <f>VLOOKUP(C645,'Location Data'!$C$5:$G$1004,4,FALSE)</f>
        <v>#N/A</v>
      </c>
      <c r="L645" t="e">
        <f>VLOOKUP(C645,'Location Data'!$C$5:$G$1004,5,FALSE)</f>
        <v>#N/A</v>
      </c>
    </row>
    <row r="646" spans="1:12" x14ac:dyDescent="0.2">
      <c r="A646">
        <f>'Shipment Data for Provisioning'!B651</f>
        <v>0</v>
      </c>
      <c r="B646">
        <f>'Shipment Data for Provisioning'!C651</f>
        <v>0</v>
      </c>
      <c r="C646">
        <f>'Shipment Data for Provisioning'!D651</f>
        <v>0</v>
      </c>
      <c r="D646">
        <f>'Shipment Data for Provisioning'!E651</f>
        <v>0</v>
      </c>
      <c r="E646">
        <f>'Shipment Data for Provisioning'!F651</f>
        <v>0</v>
      </c>
      <c r="F646">
        <f>'Shipment Data for Provisioning'!G651</f>
        <v>0</v>
      </c>
      <c r="G646">
        <f>'Shipment Data for Provisioning'!H651</f>
        <v>0</v>
      </c>
      <c r="H646">
        <f>'Shipment Data for Provisioning'!I651</f>
        <v>0</v>
      </c>
      <c r="I646" t="e">
        <f>VLOOKUP(B646,'Location Data'!$C$5:$G$1004,4,FALSE)</f>
        <v>#N/A</v>
      </c>
      <c r="J646" t="e">
        <f>VLOOKUP(B646,'Location Data'!$C$5:$G$1004,5,FALSE)</f>
        <v>#N/A</v>
      </c>
      <c r="K646" t="e">
        <f>VLOOKUP(C646,'Location Data'!$C$5:$G$1004,4,FALSE)</f>
        <v>#N/A</v>
      </c>
      <c r="L646" t="e">
        <f>VLOOKUP(C646,'Location Data'!$C$5:$G$1004,5,FALSE)</f>
        <v>#N/A</v>
      </c>
    </row>
    <row r="647" spans="1:12" x14ac:dyDescent="0.2">
      <c r="A647">
        <f>'Shipment Data for Provisioning'!B652</f>
        <v>0</v>
      </c>
      <c r="B647">
        <f>'Shipment Data for Provisioning'!C652</f>
        <v>0</v>
      </c>
      <c r="C647">
        <f>'Shipment Data for Provisioning'!D652</f>
        <v>0</v>
      </c>
      <c r="D647">
        <f>'Shipment Data for Provisioning'!E652</f>
        <v>0</v>
      </c>
      <c r="E647">
        <f>'Shipment Data for Provisioning'!F652</f>
        <v>0</v>
      </c>
      <c r="F647">
        <f>'Shipment Data for Provisioning'!G652</f>
        <v>0</v>
      </c>
      <c r="G647">
        <f>'Shipment Data for Provisioning'!H652</f>
        <v>0</v>
      </c>
      <c r="H647">
        <f>'Shipment Data for Provisioning'!I652</f>
        <v>0</v>
      </c>
      <c r="I647" t="e">
        <f>VLOOKUP(B647,'Location Data'!$C$5:$G$1004,4,FALSE)</f>
        <v>#N/A</v>
      </c>
      <c r="J647" t="e">
        <f>VLOOKUP(B647,'Location Data'!$C$5:$G$1004,5,FALSE)</f>
        <v>#N/A</v>
      </c>
      <c r="K647" t="e">
        <f>VLOOKUP(C647,'Location Data'!$C$5:$G$1004,4,FALSE)</f>
        <v>#N/A</v>
      </c>
      <c r="L647" t="e">
        <f>VLOOKUP(C647,'Location Data'!$C$5:$G$1004,5,FALSE)</f>
        <v>#N/A</v>
      </c>
    </row>
    <row r="648" spans="1:12" x14ac:dyDescent="0.2">
      <c r="A648">
        <f>'Shipment Data for Provisioning'!B653</f>
        <v>0</v>
      </c>
      <c r="B648">
        <f>'Shipment Data for Provisioning'!C653</f>
        <v>0</v>
      </c>
      <c r="C648">
        <f>'Shipment Data for Provisioning'!D653</f>
        <v>0</v>
      </c>
      <c r="D648">
        <f>'Shipment Data for Provisioning'!E653</f>
        <v>0</v>
      </c>
      <c r="E648">
        <f>'Shipment Data for Provisioning'!F653</f>
        <v>0</v>
      </c>
      <c r="F648">
        <f>'Shipment Data for Provisioning'!G653</f>
        <v>0</v>
      </c>
      <c r="G648">
        <f>'Shipment Data for Provisioning'!H653</f>
        <v>0</v>
      </c>
      <c r="H648">
        <f>'Shipment Data for Provisioning'!I653</f>
        <v>0</v>
      </c>
      <c r="I648" t="e">
        <f>VLOOKUP(B648,'Location Data'!$C$5:$G$1004,4,FALSE)</f>
        <v>#N/A</v>
      </c>
      <c r="J648" t="e">
        <f>VLOOKUP(B648,'Location Data'!$C$5:$G$1004,5,FALSE)</f>
        <v>#N/A</v>
      </c>
      <c r="K648" t="e">
        <f>VLOOKUP(C648,'Location Data'!$C$5:$G$1004,4,FALSE)</f>
        <v>#N/A</v>
      </c>
      <c r="L648" t="e">
        <f>VLOOKUP(C648,'Location Data'!$C$5:$G$1004,5,FALSE)</f>
        <v>#N/A</v>
      </c>
    </row>
    <row r="649" spans="1:12" x14ac:dyDescent="0.2">
      <c r="A649">
        <f>'Shipment Data for Provisioning'!B654</f>
        <v>0</v>
      </c>
      <c r="B649">
        <f>'Shipment Data for Provisioning'!C654</f>
        <v>0</v>
      </c>
      <c r="C649">
        <f>'Shipment Data for Provisioning'!D654</f>
        <v>0</v>
      </c>
      <c r="D649">
        <f>'Shipment Data for Provisioning'!E654</f>
        <v>0</v>
      </c>
      <c r="E649">
        <f>'Shipment Data for Provisioning'!F654</f>
        <v>0</v>
      </c>
      <c r="F649">
        <f>'Shipment Data for Provisioning'!G654</f>
        <v>0</v>
      </c>
      <c r="G649">
        <f>'Shipment Data for Provisioning'!H654</f>
        <v>0</v>
      </c>
      <c r="H649">
        <f>'Shipment Data for Provisioning'!I654</f>
        <v>0</v>
      </c>
      <c r="I649" t="e">
        <f>VLOOKUP(B649,'Location Data'!$C$5:$G$1004,4,FALSE)</f>
        <v>#N/A</v>
      </c>
      <c r="J649" t="e">
        <f>VLOOKUP(B649,'Location Data'!$C$5:$G$1004,5,FALSE)</f>
        <v>#N/A</v>
      </c>
      <c r="K649" t="e">
        <f>VLOOKUP(C649,'Location Data'!$C$5:$G$1004,4,FALSE)</f>
        <v>#N/A</v>
      </c>
      <c r="L649" t="e">
        <f>VLOOKUP(C649,'Location Data'!$C$5:$G$1004,5,FALSE)</f>
        <v>#N/A</v>
      </c>
    </row>
    <row r="650" spans="1:12" x14ac:dyDescent="0.2">
      <c r="A650">
        <f>'Shipment Data for Provisioning'!B655</f>
        <v>0</v>
      </c>
      <c r="B650">
        <f>'Shipment Data for Provisioning'!C655</f>
        <v>0</v>
      </c>
      <c r="C650">
        <f>'Shipment Data for Provisioning'!D655</f>
        <v>0</v>
      </c>
      <c r="D650">
        <f>'Shipment Data for Provisioning'!E655</f>
        <v>0</v>
      </c>
      <c r="E650">
        <f>'Shipment Data for Provisioning'!F655</f>
        <v>0</v>
      </c>
      <c r="F650">
        <f>'Shipment Data for Provisioning'!G655</f>
        <v>0</v>
      </c>
      <c r="G650">
        <f>'Shipment Data for Provisioning'!H655</f>
        <v>0</v>
      </c>
      <c r="H650">
        <f>'Shipment Data for Provisioning'!I655</f>
        <v>0</v>
      </c>
      <c r="I650" t="e">
        <f>VLOOKUP(B650,'Location Data'!$C$5:$G$1004,4,FALSE)</f>
        <v>#N/A</v>
      </c>
      <c r="J650" t="e">
        <f>VLOOKUP(B650,'Location Data'!$C$5:$G$1004,5,FALSE)</f>
        <v>#N/A</v>
      </c>
      <c r="K650" t="e">
        <f>VLOOKUP(C650,'Location Data'!$C$5:$G$1004,4,FALSE)</f>
        <v>#N/A</v>
      </c>
      <c r="L650" t="e">
        <f>VLOOKUP(C650,'Location Data'!$C$5:$G$1004,5,FALSE)</f>
        <v>#N/A</v>
      </c>
    </row>
    <row r="651" spans="1:12" x14ac:dyDescent="0.2">
      <c r="A651">
        <f>'Shipment Data for Provisioning'!B656</f>
        <v>0</v>
      </c>
      <c r="B651">
        <f>'Shipment Data for Provisioning'!C656</f>
        <v>0</v>
      </c>
      <c r="C651">
        <f>'Shipment Data for Provisioning'!D656</f>
        <v>0</v>
      </c>
      <c r="D651">
        <f>'Shipment Data for Provisioning'!E656</f>
        <v>0</v>
      </c>
      <c r="E651">
        <f>'Shipment Data for Provisioning'!F656</f>
        <v>0</v>
      </c>
      <c r="F651">
        <f>'Shipment Data for Provisioning'!G656</f>
        <v>0</v>
      </c>
      <c r="G651">
        <f>'Shipment Data for Provisioning'!H656</f>
        <v>0</v>
      </c>
      <c r="H651">
        <f>'Shipment Data for Provisioning'!I656</f>
        <v>0</v>
      </c>
      <c r="I651" t="e">
        <f>VLOOKUP(B651,'Location Data'!$C$5:$G$1004,4,FALSE)</f>
        <v>#N/A</v>
      </c>
      <c r="J651" t="e">
        <f>VLOOKUP(B651,'Location Data'!$C$5:$G$1004,5,FALSE)</f>
        <v>#N/A</v>
      </c>
      <c r="K651" t="e">
        <f>VLOOKUP(C651,'Location Data'!$C$5:$G$1004,4,FALSE)</f>
        <v>#N/A</v>
      </c>
      <c r="L651" t="e">
        <f>VLOOKUP(C651,'Location Data'!$C$5:$G$1004,5,FALSE)</f>
        <v>#N/A</v>
      </c>
    </row>
    <row r="652" spans="1:12" x14ac:dyDescent="0.2">
      <c r="A652">
        <f>'Shipment Data for Provisioning'!B657</f>
        <v>0</v>
      </c>
      <c r="B652">
        <f>'Shipment Data for Provisioning'!C657</f>
        <v>0</v>
      </c>
      <c r="C652">
        <f>'Shipment Data for Provisioning'!D657</f>
        <v>0</v>
      </c>
      <c r="D652">
        <f>'Shipment Data for Provisioning'!E657</f>
        <v>0</v>
      </c>
      <c r="E652">
        <f>'Shipment Data for Provisioning'!F657</f>
        <v>0</v>
      </c>
      <c r="F652">
        <f>'Shipment Data for Provisioning'!G657</f>
        <v>0</v>
      </c>
      <c r="G652">
        <f>'Shipment Data for Provisioning'!H657</f>
        <v>0</v>
      </c>
      <c r="H652">
        <f>'Shipment Data for Provisioning'!I657</f>
        <v>0</v>
      </c>
      <c r="I652" t="e">
        <f>VLOOKUP(B652,'Location Data'!$C$5:$G$1004,4,FALSE)</f>
        <v>#N/A</v>
      </c>
      <c r="J652" t="e">
        <f>VLOOKUP(B652,'Location Data'!$C$5:$G$1004,5,FALSE)</f>
        <v>#N/A</v>
      </c>
      <c r="K652" t="e">
        <f>VLOOKUP(C652,'Location Data'!$C$5:$G$1004,4,FALSE)</f>
        <v>#N/A</v>
      </c>
      <c r="L652" t="e">
        <f>VLOOKUP(C652,'Location Data'!$C$5:$G$1004,5,FALSE)</f>
        <v>#N/A</v>
      </c>
    </row>
    <row r="653" spans="1:12" x14ac:dyDescent="0.2">
      <c r="A653">
        <f>'Shipment Data for Provisioning'!B658</f>
        <v>0</v>
      </c>
      <c r="B653">
        <f>'Shipment Data for Provisioning'!C658</f>
        <v>0</v>
      </c>
      <c r="C653">
        <f>'Shipment Data for Provisioning'!D658</f>
        <v>0</v>
      </c>
      <c r="D653">
        <f>'Shipment Data for Provisioning'!E658</f>
        <v>0</v>
      </c>
      <c r="E653">
        <f>'Shipment Data for Provisioning'!F658</f>
        <v>0</v>
      </c>
      <c r="F653">
        <f>'Shipment Data for Provisioning'!G658</f>
        <v>0</v>
      </c>
      <c r="G653">
        <f>'Shipment Data for Provisioning'!H658</f>
        <v>0</v>
      </c>
      <c r="H653">
        <f>'Shipment Data for Provisioning'!I658</f>
        <v>0</v>
      </c>
      <c r="I653" t="e">
        <f>VLOOKUP(B653,'Location Data'!$C$5:$G$1004,4,FALSE)</f>
        <v>#N/A</v>
      </c>
      <c r="J653" t="e">
        <f>VLOOKUP(B653,'Location Data'!$C$5:$G$1004,5,FALSE)</f>
        <v>#N/A</v>
      </c>
      <c r="K653" t="e">
        <f>VLOOKUP(C653,'Location Data'!$C$5:$G$1004,4,FALSE)</f>
        <v>#N/A</v>
      </c>
      <c r="L653" t="e">
        <f>VLOOKUP(C653,'Location Data'!$C$5:$G$1004,5,FALSE)</f>
        <v>#N/A</v>
      </c>
    </row>
    <row r="654" spans="1:12" x14ac:dyDescent="0.2">
      <c r="A654">
        <f>'Shipment Data for Provisioning'!B659</f>
        <v>0</v>
      </c>
      <c r="B654">
        <f>'Shipment Data for Provisioning'!C659</f>
        <v>0</v>
      </c>
      <c r="C654">
        <f>'Shipment Data for Provisioning'!D659</f>
        <v>0</v>
      </c>
      <c r="D654">
        <f>'Shipment Data for Provisioning'!E659</f>
        <v>0</v>
      </c>
      <c r="E654">
        <f>'Shipment Data for Provisioning'!F659</f>
        <v>0</v>
      </c>
      <c r="F654">
        <f>'Shipment Data for Provisioning'!G659</f>
        <v>0</v>
      </c>
      <c r="G654">
        <f>'Shipment Data for Provisioning'!H659</f>
        <v>0</v>
      </c>
      <c r="H654">
        <f>'Shipment Data for Provisioning'!I659</f>
        <v>0</v>
      </c>
      <c r="I654" t="e">
        <f>VLOOKUP(B654,'Location Data'!$C$5:$G$1004,4,FALSE)</f>
        <v>#N/A</v>
      </c>
      <c r="J654" t="e">
        <f>VLOOKUP(B654,'Location Data'!$C$5:$G$1004,5,FALSE)</f>
        <v>#N/A</v>
      </c>
      <c r="K654" t="e">
        <f>VLOOKUP(C654,'Location Data'!$C$5:$G$1004,4,FALSE)</f>
        <v>#N/A</v>
      </c>
      <c r="L654" t="e">
        <f>VLOOKUP(C654,'Location Data'!$C$5:$G$1004,5,FALSE)</f>
        <v>#N/A</v>
      </c>
    </row>
    <row r="655" spans="1:12" x14ac:dyDescent="0.2">
      <c r="A655">
        <f>'Shipment Data for Provisioning'!B660</f>
        <v>0</v>
      </c>
      <c r="B655">
        <f>'Shipment Data for Provisioning'!C660</f>
        <v>0</v>
      </c>
      <c r="C655">
        <f>'Shipment Data for Provisioning'!D660</f>
        <v>0</v>
      </c>
      <c r="D655">
        <f>'Shipment Data for Provisioning'!E660</f>
        <v>0</v>
      </c>
      <c r="E655">
        <f>'Shipment Data for Provisioning'!F660</f>
        <v>0</v>
      </c>
      <c r="F655">
        <f>'Shipment Data for Provisioning'!G660</f>
        <v>0</v>
      </c>
      <c r="G655">
        <f>'Shipment Data for Provisioning'!H660</f>
        <v>0</v>
      </c>
      <c r="H655">
        <f>'Shipment Data for Provisioning'!I660</f>
        <v>0</v>
      </c>
      <c r="I655" t="e">
        <f>VLOOKUP(B655,'Location Data'!$C$5:$G$1004,4,FALSE)</f>
        <v>#N/A</v>
      </c>
      <c r="J655" t="e">
        <f>VLOOKUP(B655,'Location Data'!$C$5:$G$1004,5,FALSE)</f>
        <v>#N/A</v>
      </c>
      <c r="K655" t="e">
        <f>VLOOKUP(C655,'Location Data'!$C$5:$G$1004,4,FALSE)</f>
        <v>#N/A</v>
      </c>
      <c r="L655" t="e">
        <f>VLOOKUP(C655,'Location Data'!$C$5:$G$1004,5,FALSE)</f>
        <v>#N/A</v>
      </c>
    </row>
    <row r="656" spans="1:12" x14ac:dyDescent="0.2">
      <c r="A656">
        <f>'Shipment Data for Provisioning'!B661</f>
        <v>0</v>
      </c>
      <c r="B656">
        <f>'Shipment Data for Provisioning'!C661</f>
        <v>0</v>
      </c>
      <c r="C656">
        <f>'Shipment Data for Provisioning'!D661</f>
        <v>0</v>
      </c>
      <c r="D656">
        <f>'Shipment Data for Provisioning'!E661</f>
        <v>0</v>
      </c>
      <c r="E656">
        <f>'Shipment Data for Provisioning'!F661</f>
        <v>0</v>
      </c>
      <c r="F656">
        <f>'Shipment Data for Provisioning'!G661</f>
        <v>0</v>
      </c>
      <c r="G656">
        <f>'Shipment Data for Provisioning'!H661</f>
        <v>0</v>
      </c>
      <c r="H656">
        <f>'Shipment Data for Provisioning'!I661</f>
        <v>0</v>
      </c>
      <c r="I656" t="e">
        <f>VLOOKUP(B656,'Location Data'!$C$5:$G$1004,4,FALSE)</f>
        <v>#N/A</v>
      </c>
      <c r="J656" t="e">
        <f>VLOOKUP(B656,'Location Data'!$C$5:$G$1004,5,FALSE)</f>
        <v>#N/A</v>
      </c>
      <c r="K656" t="e">
        <f>VLOOKUP(C656,'Location Data'!$C$5:$G$1004,4,FALSE)</f>
        <v>#N/A</v>
      </c>
      <c r="L656" t="e">
        <f>VLOOKUP(C656,'Location Data'!$C$5:$G$1004,5,FALSE)</f>
        <v>#N/A</v>
      </c>
    </row>
    <row r="657" spans="1:12" x14ac:dyDescent="0.2">
      <c r="A657">
        <f>'Shipment Data for Provisioning'!B662</f>
        <v>0</v>
      </c>
      <c r="B657">
        <f>'Shipment Data for Provisioning'!C662</f>
        <v>0</v>
      </c>
      <c r="C657">
        <f>'Shipment Data for Provisioning'!D662</f>
        <v>0</v>
      </c>
      <c r="D657">
        <f>'Shipment Data for Provisioning'!E662</f>
        <v>0</v>
      </c>
      <c r="E657">
        <f>'Shipment Data for Provisioning'!F662</f>
        <v>0</v>
      </c>
      <c r="F657">
        <f>'Shipment Data for Provisioning'!G662</f>
        <v>0</v>
      </c>
      <c r="G657">
        <f>'Shipment Data for Provisioning'!H662</f>
        <v>0</v>
      </c>
      <c r="H657">
        <f>'Shipment Data for Provisioning'!I662</f>
        <v>0</v>
      </c>
      <c r="I657" t="e">
        <f>VLOOKUP(B657,'Location Data'!$C$5:$G$1004,4,FALSE)</f>
        <v>#N/A</v>
      </c>
      <c r="J657" t="e">
        <f>VLOOKUP(B657,'Location Data'!$C$5:$G$1004,5,FALSE)</f>
        <v>#N/A</v>
      </c>
      <c r="K657" t="e">
        <f>VLOOKUP(C657,'Location Data'!$C$5:$G$1004,4,FALSE)</f>
        <v>#N/A</v>
      </c>
      <c r="L657" t="e">
        <f>VLOOKUP(C657,'Location Data'!$C$5:$G$1004,5,FALSE)</f>
        <v>#N/A</v>
      </c>
    </row>
    <row r="658" spans="1:12" x14ac:dyDescent="0.2">
      <c r="A658">
        <f>'Shipment Data for Provisioning'!B663</f>
        <v>0</v>
      </c>
      <c r="B658">
        <f>'Shipment Data for Provisioning'!C663</f>
        <v>0</v>
      </c>
      <c r="C658">
        <f>'Shipment Data for Provisioning'!D663</f>
        <v>0</v>
      </c>
      <c r="D658">
        <f>'Shipment Data for Provisioning'!E663</f>
        <v>0</v>
      </c>
      <c r="E658">
        <f>'Shipment Data for Provisioning'!F663</f>
        <v>0</v>
      </c>
      <c r="F658">
        <f>'Shipment Data for Provisioning'!G663</f>
        <v>0</v>
      </c>
      <c r="G658">
        <f>'Shipment Data for Provisioning'!H663</f>
        <v>0</v>
      </c>
      <c r="H658">
        <f>'Shipment Data for Provisioning'!I663</f>
        <v>0</v>
      </c>
      <c r="I658" t="e">
        <f>VLOOKUP(B658,'Location Data'!$C$5:$G$1004,4,FALSE)</f>
        <v>#N/A</v>
      </c>
      <c r="J658" t="e">
        <f>VLOOKUP(B658,'Location Data'!$C$5:$G$1004,5,FALSE)</f>
        <v>#N/A</v>
      </c>
      <c r="K658" t="e">
        <f>VLOOKUP(C658,'Location Data'!$C$5:$G$1004,4,FALSE)</f>
        <v>#N/A</v>
      </c>
      <c r="L658" t="e">
        <f>VLOOKUP(C658,'Location Data'!$C$5:$G$1004,5,FALSE)</f>
        <v>#N/A</v>
      </c>
    </row>
    <row r="659" spans="1:12" x14ac:dyDescent="0.2">
      <c r="A659">
        <f>'Shipment Data for Provisioning'!B664</f>
        <v>0</v>
      </c>
      <c r="B659">
        <f>'Shipment Data for Provisioning'!C664</f>
        <v>0</v>
      </c>
      <c r="C659">
        <f>'Shipment Data for Provisioning'!D664</f>
        <v>0</v>
      </c>
      <c r="D659">
        <f>'Shipment Data for Provisioning'!E664</f>
        <v>0</v>
      </c>
      <c r="E659">
        <f>'Shipment Data for Provisioning'!F664</f>
        <v>0</v>
      </c>
      <c r="F659">
        <f>'Shipment Data for Provisioning'!G664</f>
        <v>0</v>
      </c>
      <c r="G659">
        <f>'Shipment Data for Provisioning'!H664</f>
        <v>0</v>
      </c>
      <c r="H659">
        <f>'Shipment Data for Provisioning'!I664</f>
        <v>0</v>
      </c>
      <c r="I659" t="e">
        <f>VLOOKUP(B659,'Location Data'!$C$5:$G$1004,4,FALSE)</f>
        <v>#N/A</v>
      </c>
      <c r="J659" t="e">
        <f>VLOOKUP(B659,'Location Data'!$C$5:$G$1004,5,FALSE)</f>
        <v>#N/A</v>
      </c>
      <c r="K659" t="e">
        <f>VLOOKUP(C659,'Location Data'!$C$5:$G$1004,4,FALSE)</f>
        <v>#N/A</v>
      </c>
      <c r="L659" t="e">
        <f>VLOOKUP(C659,'Location Data'!$C$5:$G$1004,5,FALSE)</f>
        <v>#N/A</v>
      </c>
    </row>
    <row r="660" spans="1:12" x14ac:dyDescent="0.2">
      <c r="A660">
        <f>'Shipment Data for Provisioning'!B665</f>
        <v>0</v>
      </c>
      <c r="B660">
        <f>'Shipment Data for Provisioning'!C665</f>
        <v>0</v>
      </c>
      <c r="C660">
        <f>'Shipment Data for Provisioning'!D665</f>
        <v>0</v>
      </c>
      <c r="D660">
        <f>'Shipment Data for Provisioning'!E665</f>
        <v>0</v>
      </c>
      <c r="E660">
        <f>'Shipment Data for Provisioning'!F665</f>
        <v>0</v>
      </c>
      <c r="F660">
        <f>'Shipment Data for Provisioning'!G665</f>
        <v>0</v>
      </c>
      <c r="G660">
        <f>'Shipment Data for Provisioning'!H665</f>
        <v>0</v>
      </c>
      <c r="H660">
        <f>'Shipment Data for Provisioning'!I665</f>
        <v>0</v>
      </c>
      <c r="I660" t="e">
        <f>VLOOKUP(B660,'Location Data'!$C$5:$G$1004,4,FALSE)</f>
        <v>#N/A</v>
      </c>
      <c r="J660" t="e">
        <f>VLOOKUP(B660,'Location Data'!$C$5:$G$1004,5,FALSE)</f>
        <v>#N/A</v>
      </c>
      <c r="K660" t="e">
        <f>VLOOKUP(C660,'Location Data'!$C$5:$G$1004,4,FALSE)</f>
        <v>#N/A</v>
      </c>
      <c r="L660" t="e">
        <f>VLOOKUP(C660,'Location Data'!$C$5:$G$1004,5,FALSE)</f>
        <v>#N/A</v>
      </c>
    </row>
    <row r="661" spans="1:12" x14ac:dyDescent="0.2">
      <c r="A661">
        <f>'Shipment Data for Provisioning'!B666</f>
        <v>0</v>
      </c>
      <c r="B661">
        <f>'Shipment Data for Provisioning'!C666</f>
        <v>0</v>
      </c>
      <c r="C661">
        <f>'Shipment Data for Provisioning'!D666</f>
        <v>0</v>
      </c>
      <c r="D661">
        <f>'Shipment Data for Provisioning'!E666</f>
        <v>0</v>
      </c>
      <c r="E661">
        <f>'Shipment Data for Provisioning'!F666</f>
        <v>0</v>
      </c>
      <c r="F661">
        <f>'Shipment Data for Provisioning'!G666</f>
        <v>0</v>
      </c>
      <c r="G661">
        <f>'Shipment Data for Provisioning'!H666</f>
        <v>0</v>
      </c>
      <c r="H661">
        <f>'Shipment Data for Provisioning'!I666</f>
        <v>0</v>
      </c>
      <c r="I661" t="e">
        <f>VLOOKUP(B661,'Location Data'!$C$5:$G$1004,4,FALSE)</f>
        <v>#N/A</v>
      </c>
      <c r="J661" t="e">
        <f>VLOOKUP(B661,'Location Data'!$C$5:$G$1004,5,FALSE)</f>
        <v>#N/A</v>
      </c>
      <c r="K661" t="e">
        <f>VLOOKUP(C661,'Location Data'!$C$5:$G$1004,4,FALSE)</f>
        <v>#N/A</v>
      </c>
      <c r="L661" t="e">
        <f>VLOOKUP(C661,'Location Data'!$C$5:$G$1004,5,FALSE)</f>
        <v>#N/A</v>
      </c>
    </row>
    <row r="662" spans="1:12" x14ac:dyDescent="0.2">
      <c r="A662">
        <f>'Shipment Data for Provisioning'!B667</f>
        <v>0</v>
      </c>
      <c r="B662">
        <f>'Shipment Data for Provisioning'!C667</f>
        <v>0</v>
      </c>
      <c r="C662">
        <f>'Shipment Data for Provisioning'!D667</f>
        <v>0</v>
      </c>
      <c r="D662">
        <f>'Shipment Data for Provisioning'!E667</f>
        <v>0</v>
      </c>
      <c r="E662">
        <f>'Shipment Data for Provisioning'!F667</f>
        <v>0</v>
      </c>
      <c r="F662">
        <f>'Shipment Data for Provisioning'!G667</f>
        <v>0</v>
      </c>
      <c r="G662">
        <f>'Shipment Data for Provisioning'!H667</f>
        <v>0</v>
      </c>
      <c r="H662">
        <f>'Shipment Data for Provisioning'!I667</f>
        <v>0</v>
      </c>
      <c r="I662" t="e">
        <f>VLOOKUP(B662,'Location Data'!$C$5:$G$1004,4,FALSE)</f>
        <v>#N/A</v>
      </c>
      <c r="J662" t="e">
        <f>VLOOKUP(B662,'Location Data'!$C$5:$G$1004,5,FALSE)</f>
        <v>#N/A</v>
      </c>
      <c r="K662" t="e">
        <f>VLOOKUP(C662,'Location Data'!$C$5:$G$1004,4,FALSE)</f>
        <v>#N/A</v>
      </c>
      <c r="L662" t="e">
        <f>VLOOKUP(C662,'Location Data'!$C$5:$G$1004,5,FALSE)</f>
        <v>#N/A</v>
      </c>
    </row>
    <row r="663" spans="1:12" x14ac:dyDescent="0.2">
      <c r="A663">
        <f>'Shipment Data for Provisioning'!B668</f>
        <v>0</v>
      </c>
      <c r="B663">
        <f>'Shipment Data for Provisioning'!C668</f>
        <v>0</v>
      </c>
      <c r="C663">
        <f>'Shipment Data for Provisioning'!D668</f>
        <v>0</v>
      </c>
      <c r="D663">
        <f>'Shipment Data for Provisioning'!E668</f>
        <v>0</v>
      </c>
      <c r="E663">
        <f>'Shipment Data for Provisioning'!F668</f>
        <v>0</v>
      </c>
      <c r="F663">
        <f>'Shipment Data for Provisioning'!G668</f>
        <v>0</v>
      </c>
      <c r="G663">
        <f>'Shipment Data for Provisioning'!H668</f>
        <v>0</v>
      </c>
      <c r="H663">
        <f>'Shipment Data for Provisioning'!I668</f>
        <v>0</v>
      </c>
      <c r="I663" t="e">
        <f>VLOOKUP(B663,'Location Data'!$C$5:$G$1004,4,FALSE)</f>
        <v>#N/A</v>
      </c>
      <c r="J663" t="e">
        <f>VLOOKUP(B663,'Location Data'!$C$5:$G$1004,5,FALSE)</f>
        <v>#N/A</v>
      </c>
      <c r="K663" t="e">
        <f>VLOOKUP(C663,'Location Data'!$C$5:$G$1004,4,FALSE)</f>
        <v>#N/A</v>
      </c>
      <c r="L663" t="e">
        <f>VLOOKUP(C663,'Location Data'!$C$5:$G$1004,5,FALSE)</f>
        <v>#N/A</v>
      </c>
    </row>
    <row r="664" spans="1:12" x14ac:dyDescent="0.2">
      <c r="A664">
        <f>'Shipment Data for Provisioning'!B669</f>
        <v>0</v>
      </c>
      <c r="B664">
        <f>'Shipment Data for Provisioning'!C669</f>
        <v>0</v>
      </c>
      <c r="C664">
        <f>'Shipment Data for Provisioning'!D669</f>
        <v>0</v>
      </c>
      <c r="D664">
        <f>'Shipment Data for Provisioning'!E669</f>
        <v>0</v>
      </c>
      <c r="E664">
        <f>'Shipment Data for Provisioning'!F669</f>
        <v>0</v>
      </c>
      <c r="F664">
        <f>'Shipment Data for Provisioning'!G669</f>
        <v>0</v>
      </c>
      <c r="G664">
        <f>'Shipment Data for Provisioning'!H669</f>
        <v>0</v>
      </c>
      <c r="H664">
        <f>'Shipment Data for Provisioning'!I669</f>
        <v>0</v>
      </c>
      <c r="I664" t="e">
        <f>VLOOKUP(B664,'Location Data'!$C$5:$G$1004,4,FALSE)</f>
        <v>#N/A</v>
      </c>
      <c r="J664" t="e">
        <f>VLOOKUP(B664,'Location Data'!$C$5:$G$1004,5,FALSE)</f>
        <v>#N/A</v>
      </c>
      <c r="K664" t="e">
        <f>VLOOKUP(C664,'Location Data'!$C$5:$G$1004,4,FALSE)</f>
        <v>#N/A</v>
      </c>
      <c r="L664" t="e">
        <f>VLOOKUP(C664,'Location Data'!$C$5:$G$1004,5,FALSE)</f>
        <v>#N/A</v>
      </c>
    </row>
    <row r="665" spans="1:12" x14ac:dyDescent="0.2">
      <c r="A665">
        <f>'Shipment Data for Provisioning'!B670</f>
        <v>0</v>
      </c>
      <c r="B665">
        <f>'Shipment Data for Provisioning'!C670</f>
        <v>0</v>
      </c>
      <c r="C665">
        <f>'Shipment Data for Provisioning'!D670</f>
        <v>0</v>
      </c>
      <c r="D665">
        <f>'Shipment Data for Provisioning'!E670</f>
        <v>0</v>
      </c>
      <c r="E665">
        <f>'Shipment Data for Provisioning'!F670</f>
        <v>0</v>
      </c>
      <c r="F665">
        <f>'Shipment Data for Provisioning'!G670</f>
        <v>0</v>
      </c>
      <c r="G665">
        <f>'Shipment Data for Provisioning'!H670</f>
        <v>0</v>
      </c>
      <c r="H665">
        <f>'Shipment Data for Provisioning'!I670</f>
        <v>0</v>
      </c>
      <c r="I665" t="e">
        <f>VLOOKUP(B665,'Location Data'!$C$5:$G$1004,4,FALSE)</f>
        <v>#N/A</v>
      </c>
      <c r="J665" t="e">
        <f>VLOOKUP(B665,'Location Data'!$C$5:$G$1004,5,FALSE)</f>
        <v>#N/A</v>
      </c>
      <c r="K665" t="e">
        <f>VLOOKUP(C665,'Location Data'!$C$5:$G$1004,4,FALSE)</f>
        <v>#N/A</v>
      </c>
      <c r="L665" t="e">
        <f>VLOOKUP(C665,'Location Data'!$C$5:$G$1004,5,FALSE)</f>
        <v>#N/A</v>
      </c>
    </row>
    <row r="666" spans="1:12" x14ac:dyDescent="0.2">
      <c r="A666">
        <f>'Shipment Data for Provisioning'!B671</f>
        <v>0</v>
      </c>
      <c r="B666">
        <f>'Shipment Data for Provisioning'!C671</f>
        <v>0</v>
      </c>
      <c r="C666">
        <f>'Shipment Data for Provisioning'!D671</f>
        <v>0</v>
      </c>
      <c r="D666">
        <f>'Shipment Data for Provisioning'!E671</f>
        <v>0</v>
      </c>
      <c r="E666">
        <f>'Shipment Data for Provisioning'!F671</f>
        <v>0</v>
      </c>
      <c r="F666">
        <f>'Shipment Data for Provisioning'!G671</f>
        <v>0</v>
      </c>
      <c r="G666">
        <f>'Shipment Data for Provisioning'!H671</f>
        <v>0</v>
      </c>
      <c r="H666">
        <f>'Shipment Data for Provisioning'!I671</f>
        <v>0</v>
      </c>
      <c r="I666" t="e">
        <f>VLOOKUP(B666,'Location Data'!$C$5:$G$1004,4,FALSE)</f>
        <v>#N/A</v>
      </c>
      <c r="J666" t="e">
        <f>VLOOKUP(B666,'Location Data'!$C$5:$G$1004,5,FALSE)</f>
        <v>#N/A</v>
      </c>
      <c r="K666" t="e">
        <f>VLOOKUP(C666,'Location Data'!$C$5:$G$1004,4,FALSE)</f>
        <v>#N/A</v>
      </c>
      <c r="L666" t="e">
        <f>VLOOKUP(C666,'Location Data'!$C$5:$G$1004,5,FALSE)</f>
        <v>#N/A</v>
      </c>
    </row>
    <row r="667" spans="1:12" x14ac:dyDescent="0.2">
      <c r="A667">
        <f>'Shipment Data for Provisioning'!B672</f>
        <v>0</v>
      </c>
      <c r="B667">
        <f>'Shipment Data for Provisioning'!C672</f>
        <v>0</v>
      </c>
      <c r="C667">
        <f>'Shipment Data for Provisioning'!D672</f>
        <v>0</v>
      </c>
      <c r="D667">
        <f>'Shipment Data for Provisioning'!E672</f>
        <v>0</v>
      </c>
      <c r="E667">
        <f>'Shipment Data for Provisioning'!F672</f>
        <v>0</v>
      </c>
      <c r="F667">
        <f>'Shipment Data for Provisioning'!G672</f>
        <v>0</v>
      </c>
      <c r="G667">
        <f>'Shipment Data for Provisioning'!H672</f>
        <v>0</v>
      </c>
      <c r="H667">
        <f>'Shipment Data for Provisioning'!I672</f>
        <v>0</v>
      </c>
      <c r="I667" t="e">
        <f>VLOOKUP(B667,'Location Data'!$C$5:$G$1004,4,FALSE)</f>
        <v>#N/A</v>
      </c>
      <c r="J667" t="e">
        <f>VLOOKUP(B667,'Location Data'!$C$5:$G$1004,5,FALSE)</f>
        <v>#N/A</v>
      </c>
      <c r="K667" t="e">
        <f>VLOOKUP(C667,'Location Data'!$C$5:$G$1004,4,FALSE)</f>
        <v>#N/A</v>
      </c>
      <c r="L667" t="e">
        <f>VLOOKUP(C667,'Location Data'!$C$5:$G$1004,5,FALSE)</f>
        <v>#N/A</v>
      </c>
    </row>
    <row r="668" spans="1:12" x14ac:dyDescent="0.2">
      <c r="A668">
        <f>'Shipment Data for Provisioning'!B673</f>
        <v>0</v>
      </c>
      <c r="B668">
        <f>'Shipment Data for Provisioning'!C673</f>
        <v>0</v>
      </c>
      <c r="C668">
        <f>'Shipment Data for Provisioning'!D673</f>
        <v>0</v>
      </c>
      <c r="D668">
        <f>'Shipment Data for Provisioning'!E673</f>
        <v>0</v>
      </c>
      <c r="E668">
        <f>'Shipment Data for Provisioning'!F673</f>
        <v>0</v>
      </c>
      <c r="F668">
        <f>'Shipment Data for Provisioning'!G673</f>
        <v>0</v>
      </c>
      <c r="G668">
        <f>'Shipment Data for Provisioning'!H673</f>
        <v>0</v>
      </c>
      <c r="H668">
        <f>'Shipment Data for Provisioning'!I673</f>
        <v>0</v>
      </c>
      <c r="I668" t="e">
        <f>VLOOKUP(B668,'Location Data'!$C$5:$G$1004,4,FALSE)</f>
        <v>#N/A</v>
      </c>
      <c r="J668" t="e">
        <f>VLOOKUP(B668,'Location Data'!$C$5:$G$1004,5,FALSE)</f>
        <v>#N/A</v>
      </c>
      <c r="K668" t="e">
        <f>VLOOKUP(C668,'Location Data'!$C$5:$G$1004,4,FALSE)</f>
        <v>#N/A</v>
      </c>
      <c r="L668" t="e">
        <f>VLOOKUP(C668,'Location Data'!$C$5:$G$1004,5,FALSE)</f>
        <v>#N/A</v>
      </c>
    </row>
    <row r="669" spans="1:12" x14ac:dyDescent="0.2">
      <c r="A669">
        <f>'Shipment Data for Provisioning'!B674</f>
        <v>0</v>
      </c>
      <c r="B669">
        <f>'Shipment Data for Provisioning'!C674</f>
        <v>0</v>
      </c>
      <c r="C669">
        <f>'Shipment Data for Provisioning'!D674</f>
        <v>0</v>
      </c>
      <c r="D669">
        <f>'Shipment Data for Provisioning'!E674</f>
        <v>0</v>
      </c>
      <c r="E669">
        <f>'Shipment Data for Provisioning'!F674</f>
        <v>0</v>
      </c>
      <c r="F669">
        <f>'Shipment Data for Provisioning'!G674</f>
        <v>0</v>
      </c>
      <c r="G669">
        <f>'Shipment Data for Provisioning'!H674</f>
        <v>0</v>
      </c>
      <c r="H669">
        <f>'Shipment Data for Provisioning'!I674</f>
        <v>0</v>
      </c>
      <c r="I669" t="e">
        <f>VLOOKUP(B669,'Location Data'!$C$5:$G$1004,4,FALSE)</f>
        <v>#N/A</v>
      </c>
      <c r="J669" t="e">
        <f>VLOOKUP(B669,'Location Data'!$C$5:$G$1004,5,FALSE)</f>
        <v>#N/A</v>
      </c>
      <c r="K669" t="e">
        <f>VLOOKUP(C669,'Location Data'!$C$5:$G$1004,4,FALSE)</f>
        <v>#N/A</v>
      </c>
      <c r="L669" t="e">
        <f>VLOOKUP(C669,'Location Data'!$C$5:$G$1004,5,FALSE)</f>
        <v>#N/A</v>
      </c>
    </row>
    <row r="670" spans="1:12" x14ac:dyDescent="0.2">
      <c r="A670">
        <f>'Shipment Data for Provisioning'!B675</f>
        <v>0</v>
      </c>
      <c r="B670">
        <f>'Shipment Data for Provisioning'!C675</f>
        <v>0</v>
      </c>
      <c r="C670">
        <f>'Shipment Data for Provisioning'!D675</f>
        <v>0</v>
      </c>
      <c r="D670">
        <f>'Shipment Data for Provisioning'!E675</f>
        <v>0</v>
      </c>
      <c r="E670">
        <f>'Shipment Data for Provisioning'!F675</f>
        <v>0</v>
      </c>
      <c r="F670">
        <f>'Shipment Data for Provisioning'!G675</f>
        <v>0</v>
      </c>
      <c r="G670">
        <f>'Shipment Data for Provisioning'!H675</f>
        <v>0</v>
      </c>
      <c r="H670">
        <f>'Shipment Data for Provisioning'!I675</f>
        <v>0</v>
      </c>
      <c r="I670" t="e">
        <f>VLOOKUP(B670,'Location Data'!$C$5:$G$1004,4,FALSE)</f>
        <v>#N/A</v>
      </c>
      <c r="J670" t="e">
        <f>VLOOKUP(B670,'Location Data'!$C$5:$G$1004,5,FALSE)</f>
        <v>#N/A</v>
      </c>
      <c r="K670" t="e">
        <f>VLOOKUP(C670,'Location Data'!$C$5:$G$1004,4,FALSE)</f>
        <v>#N/A</v>
      </c>
      <c r="L670" t="e">
        <f>VLOOKUP(C670,'Location Data'!$C$5:$G$1004,5,FALSE)</f>
        <v>#N/A</v>
      </c>
    </row>
    <row r="671" spans="1:12" x14ac:dyDescent="0.2">
      <c r="A671">
        <f>'Shipment Data for Provisioning'!B676</f>
        <v>0</v>
      </c>
      <c r="B671">
        <f>'Shipment Data for Provisioning'!C676</f>
        <v>0</v>
      </c>
      <c r="C671">
        <f>'Shipment Data for Provisioning'!D676</f>
        <v>0</v>
      </c>
      <c r="D671">
        <f>'Shipment Data for Provisioning'!E676</f>
        <v>0</v>
      </c>
      <c r="E671">
        <f>'Shipment Data for Provisioning'!F676</f>
        <v>0</v>
      </c>
      <c r="F671">
        <f>'Shipment Data for Provisioning'!G676</f>
        <v>0</v>
      </c>
      <c r="G671">
        <f>'Shipment Data for Provisioning'!H676</f>
        <v>0</v>
      </c>
      <c r="H671">
        <f>'Shipment Data for Provisioning'!I676</f>
        <v>0</v>
      </c>
      <c r="I671" t="e">
        <f>VLOOKUP(B671,'Location Data'!$C$5:$G$1004,4,FALSE)</f>
        <v>#N/A</v>
      </c>
      <c r="J671" t="e">
        <f>VLOOKUP(B671,'Location Data'!$C$5:$G$1004,5,FALSE)</f>
        <v>#N/A</v>
      </c>
      <c r="K671" t="e">
        <f>VLOOKUP(C671,'Location Data'!$C$5:$G$1004,4,FALSE)</f>
        <v>#N/A</v>
      </c>
      <c r="L671" t="e">
        <f>VLOOKUP(C671,'Location Data'!$C$5:$G$1004,5,FALSE)</f>
        <v>#N/A</v>
      </c>
    </row>
    <row r="672" spans="1:12" x14ac:dyDescent="0.2">
      <c r="A672">
        <f>'Shipment Data for Provisioning'!B677</f>
        <v>0</v>
      </c>
      <c r="B672">
        <f>'Shipment Data for Provisioning'!C677</f>
        <v>0</v>
      </c>
      <c r="C672">
        <f>'Shipment Data for Provisioning'!D677</f>
        <v>0</v>
      </c>
      <c r="D672">
        <f>'Shipment Data for Provisioning'!E677</f>
        <v>0</v>
      </c>
      <c r="E672">
        <f>'Shipment Data for Provisioning'!F677</f>
        <v>0</v>
      </c>
      <c r="F672">
        <f>'Shipment Data for Provisioning'!G677</f>
        <v>0</v>
      </c>
      <c r="G672">
        <f>'Shipment Data for Provisioning'!H677</f>
        <v>0</v>
      </c>
      <c r="H672">
        <f>'Shipment Data for Provisioning'!I677</f>
        <v>0</v>
      </c>
      <c r="I672" t="e">
        <f>VLOOKUP(B672,'Location Data'!$C$5:$G$1004,4,FALSE)</f>
        <v>#N/A</v>
      </c>
      <c r="J672" t="e">
        <f>VLOOKUP(B672,'Location Data'!$C$5:$G$1004,5,FALSE)</f>
        <v>#N/A</v>
      </c>
      <c r="K672" t="e">
        <f>VLOOKUP(C672,'Location Data'!$C$5:$G$1004,4,FALSE)</f>
        <v>#N/A</v>
      </c>
      <c r="L672" t="e">
        <f>VLOOKUP(C672,'Location Data'!$C$5:$G$1004,5,FALSE)</f>
        <v>#N/A</v>
      </c>
    </row>
    <row r="673" spans="1:12" x14ac:dyDescent="0.2">
      <c r="A673">
        <f>'Shipment Data for Provisioning'!B678</f>
        <v>0</v>
      </c>
      <c r="B673">
        <f>'Shipment Data for Provisioning'!C678</f>
        <v>0</v>
      </c>
      <c r="C673">
        <f>'Shipment Data for Provisioning'!D678</f>
        <v>0</v>
      </c>
      <c r="D673">
        <f>'Shipment Data for Provisioning'!E678</f>
        <v>0</v>
      </c>
      <c r="E673">
        <f>'Shipment Data for Provisioning'!F678</f>
        <v>0</v>
      </c>
      <c r="F673">
        <f>'Shipment Data for Provisioning'!G678</f>
        <v>0</v>
      </c>
      <c r="G673">
        <f>'Shipment Data for Provisioning'!H678</f>
        <v>0</v>
      </c>
      <c r="H673">
        <f>'Shipment Data for Provisioning'!I678</f>
        <v>0</v>
      </c>
      <c r="I673" t="e">
        <f>VLOOKUP(B673,'Location Data'!$C$5:$G$1004,4,FALSE)</f>
        <v>#N/A</v>
      </c>
      <c r="J673" t="e">
        <f>VLOOKUP(B673,'Location Data'!$C$5:$G$1004,5,FALSE)</f>
        <v>#N/A</v>
      </c>
      <c r="K673" t="e">
        <f>VLOOKUP(C673,'Location Data'!$C$5:$G$1004,4,FALSE)</f>
        <v>#N/A</v>
      </c>
      <c r="L673" t="e">
        <f>VLOOKUP(C673,'Location Data'!$C$5:$G$1004,5,FALSE)</f>
        <v>#N/A</v>
      </c>
    </row>
    <row r="674" spans="1:12" x14ac:dyDescent="0.2">
      <c r="A674">
        <f>'Shipment Data for Provisioning'!B679</f>
        <v>0</v>
      </c>
      <c r="B674">
        <f>'Shipment Data for Provisioning'!C679</f>
        <v>0</v>
      </c>
      <c r="C674">
        <f>'Shipment Data for Provisioning'!D679</f>
        <v>0</v>
      </c>
      <c r="D674">
        <f>'Shipment Data for Provisioning'!E679</f>
        <v>0</v>
      </c>
      <c r="E674">
        <f>'Shipment Data for Provisioning'!F679</f>
        <v>0</v>
      </c>
      <c r="F674">
        <f>'Shipment Data for Provisioning'!G679</f>
        <v>0</v>
      </c>
      <c r="G674">
        <f>'Shipment Data for Provisioning'!H679</f>
        <v>0</v>
      </c>
      <c r="H674">
        <f>'Shipment Data for Provisioning'!I679</f>
        <v>0</v>
      </c>
      <c r="I674" t="e">
        <f>VLOOKUP(B674,'Location Data'!$C$5:$G$1004,4,FALSE)</f>
        <v>#N/A</v>
      </c>
      <c r="J674" t="e">
        <f>VLOOKUP(B674,'Location Data'!$C$5:$G$1004,5,FALSE)</f>
        <v>#N/A</v>
      </c>
      <c r="K674" t="e">
        <f>VLOOKUP(C674,'Location Data'!$C$5:$G$1004,4,FALSE)</f>
        <v>#N/A</v>
      </c>
      <c r="L674" t="e">
        <f>VLOOKUP(C674,'Location Data'!$C$5:$G$1004,5,FALSE)</f>
        <v>#N/A</v>
      </c>
    </row>
    <row r="675" spans="1:12" x14ac:dyDescent="0.2">
      <c r="A675">
        <f>'Shipment Data for Provisioning'!B680</f>
        <v>0</v>
      </c>
      <c r="B675">
        <f>'Shipment Data for Provisioning'!C680</f>
        <v>0</v>
      </c>
      <c r="C675">
        <f>'Shipment Data for Provisioning'!D680</f>
        <v>0</v>
      </c>
      <c r="D675">
        <f>'Shipment Data for Provisioning'!E680</f>
        <v>0</v>
      </c>
      <c r="E675">
        <f>'Shipment Data for Provisioning'!F680</f>
        <v>0</v>
      </c>
      <c r="F675">
        <f>'Shipment Data for Provisioning'!G680</f>
        <v>0</v>
      </c>
      <c r="G675">
        <f>'Shipment Data for Provisioning'!H680</f>
        <v>0</v>
      </c>
      <c r="H675">
        <f>'Shipment Data for Provisioning'!I680</f>
        <v>0</v>
      </c>
      <c r="I675" t="e">
        <f>VLOOKUP(B675,'Location Data'!$C$5:$G$1004,4,FALSE)</f>
        <v>#N/A</v>
      </c>
      <c r="J675" t="e">
        <f>VLOOKUP(B675,'Location Data'!$C$5:$G$1004,5,FALSE)</f>
        <v>#N/A</v>
      </c>
      <c r="K675" t="e">
        <f>VLOOKUP(C675,'Location Data'!$C$5:$G$1004,4,FALSE)</f>
        <v>#N/A</v>
      </c>
      <c r="L675" t="e">
        <f>VLOOKUP(C675,'Location Data'!$C$5:$G$1004,5,FALSE)</f>
        <v>#N/A</v>
      </c>
    </row>
    <row r="676" spans="1:12" x14ac:dyDescent="0.2">
      <c r="A676">
        <f>'Shipment Data for Provisioning'!B681</f>
        <v>0</v>
      </c>
      <c r="B676">
        <f>'Shipment Data for Provisioning'!C681</f>
        <v>0</v>
      </c>
      <c r="C676">
        <f>'Shipment Data for Provisioning'!D681</f>
        <v>0</v>
      </c>
      <c r="D676">
        <f>'Shipment Data for Provisioning'!E681</f>
        <v>0</v>
      </c>
      <c r="E676">
        <f>'Shipment Data for Provisioning'!F681</f>
        <v>0</v>
      </c>
      <c r="F676">
        <f>'Shipment Data for Provisioning'!G681</f>
        <v>0</v>
      </c>
      <c r="G676">
        <f>'Shipment Data for Provisioning'!H681</f>
        <v>0</v>
      </c>
      <c r="H676">
        <f>'Shipment Data for Provisioning'!I681</f>
        <v>0</v>
      </c>
      <c r="I676" t="e">
        <f>VLOOKUP(B676,'Location Data'!$C$5:$G$1004,4,FALSE)</f>
        <v>#N/A</v>
      </c>
      <c r="J676" t="e">
        <f>VLOOKUP(B676,'Location Data'!$C$5:$G$1004,5,FALSE)</f>
        <v>#N/A</v>
      </c>
      <c r="K676" t="e">
        <f>VLOOKUP(C676,'Location Data'!$C$5:$G$1004,4,FALSE)</f>
        <v>#N/A</v>
      </c>
      <c r="L676" t="e">
        <f>VLOOKUP(C676,'Location Data'!$C$5:$G$1004,5,FALSE)</f>
        <v>#N/A</v>
      </c>
    </row>
    <row r="677" spans="1:12" x14ac:dyDescent="0.2">
      <c r="A677">
        <f>'Shipment Data for Provisioning'!B682</f>
        <v>0</v>
      </c>
      <c r="B677">
        <f>'Shipment Data for Provisioning'!C682</f>
        <v>0</v>
      </c>
      <c r="C677">
        <f>'Shipment Data for Provisioning'!D682</f>
        <v>0</v>
      </c>
      <c r="D677">
        <f>'Shipment Data for Provisioning'!E682</f>
        <v>0</v>
      </c>
      <c r="E677">
        <f>'Shipment Data for Provisioning'!F682</f>
        <v>0</v>
      </c>
      <c r="F677">
        <f>'Shipment Data for Provisioning'!G682</f>
        <v>0</v>
      </c>
      <c r="G677">
        <f>'Shipment Data for Provisioning'!H682</f>
        <v>0</v>
      </c>
      <c r="H677">
        <f>'Shipment Data for Provisioning'!I682</f>
        <v>0</v>
      </c>
      <c r="I677" t="e">
        <f>VLOOKUP(B677,'Location Data'!$C$5:$G$1004,4,FALSE)</f>
        <v>#N/A</v>
      </c>
      <c r="J677" t="e">
        <f>VLOOKUP(B677,'Location Data'!$C$5:$G$1004,5,FALSE)</f>
        <v>#N/A</v>
      </c>
      <c r="K677" t="e">
        <f>VLOOKUP(C677,'Location Data'!$C$5:$G$1004,4,FALSE)</f>
        <v>#N/A</v>
      </c>
      <c r="L677" t="e">
        <f>VLOOKUP(C677,'Location Data'!$C$5:$G$1004,5,FALSE)</f>
        <v>#N/A</v>
      </c>
    </row>
    <row r="678" spans="1:12" x14ac:dyDescent="0.2">
      <c r="A678">
        <f>'Shipment Data for Provisioning'!B683</f>
        <v>0</v>
      </c>
      <c r="B678">
        <f>'Shipment Data for Provisioning'!C683</f>
        <v>0</v>
      </c>
      <c r="C678">
        <f>'Shipment Data for Provisioning'!D683</f>
        <v>0</v>
      </c>
      <c r="D678">
        <f>'Shipment Data for Provisioning'!E683</f>
        <v>0</v>
      </c>
      <c r="E678">
        <f>'Shipment Data for Provisioning'!F683</f>
        <v>0</v>
      </c>
      <c r="F678">
        <f>'Shipment Data for Provisioning'!G683</f>
        <v>0</v>
      </c>
      <c r="G678">
        <f>'Shipment Data for Provisioning'!H683</f>
        <v>0</v>
      </c>
      <c r="H678">
        <f>'Shipment Data for Provisioning'!I683</f>
        <v>0</v>
      </c>
      <c r="I678" t="e">
        <f>VLOOKUP(B678,'Location Data'!$C$5:$G$1004,4,FALSE)</f>
        <v>#N/A</v>
      </c>
      <c r="J678" t="e">
        <f>VLOOKUP(B678,'Location Data'!$C$5:$G$1004,5,FALSE)</f>
        <v>#N/A</v>
      </c>
      <c r="K678" t="e">
        <f>VLOOKUP(C678,'Location Data'!$C$5:$G$1004,4,FALSE)</f>
        <v>#N/A</v>
      </c>
      <c r="L678" t="e">
        <f>VLOOKUP(C678,'Location Data'!$C$5:$G$1004,5,FALSE)</f>
        <v>#N/A</v>
      </c>
    </row>
    <row r="679" spans="1:12" x14ac:dyDescent="0.2">
      <c r="A679">
        <f>'Shipment Data for Provisioning'!B684</f>
        <v>0</v>
      </c>
      <c r="B679">
        <f>'Shipment Data for Provisioning'!C684</f>
        <v>0</v>
      </c>
      <c r="C679">
        <f>'Shipment Data for Provisioning'!D684</f>
        <v>0</v>
      </c>
      <c r="D679">
        <f>'Shipment Data for Provisioning'!E684</f>
        <v>0</v>
      </c>
      <c r="E679">
        <f>'Shipment Data for Provisioning'!F684</f>
        <v>0</v>
      </c>
      <c r="F679">
        <f>'Shipment Data for Provisioning'!G684</f>
        <v>0</v>
      </c>
      <c r="G679">
        <f>'Shipment Data for Provisioning'!H684</f>
        <v>0</v>
      </c>
      <c r="H679">
        <f>'Shipment Data for Provisioning'!I684</f>
        <v>0</v>
      </c>
      <c r="I679" t="e">
        <f>VLOOKUP(B679,'Location Data'!$C$5:$G$1004,4,FALSE)</f>
        <v>#N/A</v>
      </c>
      <c r="J679" t="e">
        <f>VLOOKUP(B679,'Location Data'!$C$5:$G$1004,5,FALSE)</f>
        <v>#N/A</v>
      </c>
      <c r="K679" t="e">
        <f>VLOOKUP(C679,'Location Data'!$C$5:$G$1004,4,FALSE)</f>
        <v>#N/A</v>
      </c>
      <c r="L679" t="e">
        <f>VLOOKUP(C679,'Location Data'!$C$5:$G$1004,5,FALSE)</f>
        <v>#N/A</v>
      </c>
    </row>
    <row r="680" spans="1:12" x14ac:dyDescent="0.2">
      <c r="A680">
        <f>'Shipment Data for Provisioning'!B685</f>
        <v>0</v>
      </c>
      <c r="B680">
        <f>'Shipment Data for Provisioning'!C685</f>
        <v>0</v>
      </c>
      <c r="C680">
        <f>'Shipment Data for Provisioning'!D685</f>
        <v>0</v>
      </c>
      <c r="D680">
        <f>'Shipment Data for Provisioning'!E685</f>
        <v>0</v>
      </c>
      <c r="E680">
        <f>'Shipment Data for Provisioning'!F685</f>
        <v>0</v>
      </c>
      <c r="F680">
        <f>'Shipment Data for Provisioning'!G685</f>
        <v>0</v>
      </c>
      <c r="G680">
        <f>'Shipment Data for Provisioning'!H685</f>
        <v>0</v>
      </c>
      <c r="H680">
        <f>'Shipment Data for Provisioning'!I685</f>
        <v>0</v>
      </c>
      <c r="I680" t="e">
        <f>VLOOKUP(B680,'Location Data'!$C$5:$G$1004,4,FALSE)</f>
        <v>#N/A</v>
      </c>
      <c r="J680" t="e">
        <f>VLOOKUP(B680,'Location Data'!$C$5:$G$1004,5,FALSE)</f>
        <v>#N/A</v>
      </c>
      <c r="K680" t="e">
        <f>VLOOKUP(C680,'Location Data'!$C$5:$G$1004,4,FALSE)</f>
        <v>#N/A</v>
      </c>
      <c r="L680" t="e">
        <f>VLOOKUP(C680,'Location Data'!$C$5:$G$1004,5,FALSE)</f>
        <v>#N/A</v>
      </c>
    </row>
    <row r="681" spans="1:12" x14ac:dyDescent="0.2">
      <c r="A681">
        <f>'Shipment Data for Provisioning'!B686</f>
        <v>0</v>
      </c>
      <c r="B681">
        <f>'Shipment Data for Provisioning'!C686</f>
        <v>0</v>
      </c>
      <c r="C681">
        <f>'Shipment Data for Provisioning'!D686</f>
        <v>0</v>
      </c>
      <c r="D681">
        <f>'Shipment Data for Provisioning'!E686</f>
        <v>0</v>
      </c>
      <c r="E681">
        <f>'Shipment Data for Provisioning'!F686</f>
        <v>0</v>
      </c>
      <c r="F681">
        <f>'Shipment Data for Provisioning'!G686</f>
        <v>0</v>
      </c>
      <c r="G681">
        <f>'Shipment Data for Provisioning'!H686</f>
        <v>0</v>
      </c>
      <c r="H681">
        <f>'Shipment Data for Provisioning'!I686</f>
        <v>0</v>
      </c>
      <c r="I681" t="e">
        <f>VLOOKUP(B681,'Location Data'!$C$5:$G$1004,4,FALSE)</f>
        <v>#N/A</v>
      </c>
      <c r="J681" t="e">
        <f>VLOOKUP(B681,'Location Data'!$C$5:$G$1004,5,FALSE)</f>
        <v>#N/A</v>
      </c>
      <c r="K681" t="e">
        <f>VLOOKUP(C681,'Location Data'!$C$5:$G$1004,4,FALSE)</f>
        <v>#N/A</v>
      </c>
      <c r="L681" t="e">
        <f>VLOOKUP(C681,'Location Data'!$C$5:$G$1004,5,FALSE)</f>
        <v>#N/A</v>
      </c>
    </row>
    <row r="682" spans="1:12" x14ac:dyDescent="0.2">
      <c r="A682">
        <f>'Shipment Data for Provisioning'!B687</f>
        <v>0</v>
      </c>
      <c r="B682">
        <f>'Shipment Data for Provisioning'!C687</f>
        <v>0</v>
      </c>
      <c r="C682">
        <f>'Shipment Data for Provisioning'!D687</f>
        <v>0</v>
      </c>
      <c r="D682">
        <f>'Shipment Data for Provisioning'!E687</f>
        <v>0</v>
      </c>
      <c r="E682">
        <f>'Shipment Data for Provisioning'!F687</f>
        <v>0</v>
      </c>
      <c r="F682">
        <f>'Shipment Data for Provisioning'!G687</f>
        <v>0</v>
      </c>
      <c r="G682">
        <f>'Shipment Data for Provisioning'!H687</f>
        <v>0</v>
      </c>
      <c r="H682">
        <f>'Shipment Data for Provisioning'!I687</f>
        <v>0</v>
      </c>
      <c r="I682" t="e">
        <f>VLOOKUP(B682,'Location Data'!$C$5:$G$1004,4,FALSE)</f>
        <v>#N/A</v>
      </c>
      <c r="J682" t="e">
        <f>VLOOKUP(B682,'Location Data'!$C$5:$G$1004,5,FALSE)</f>
        <v>#N/A</v>
      </c>
      <c r="K682" t="e">
        <f>VLOOKUP(C682,'Location Data'!$C$5:$G$1004,4,FALSE)</f>
        <v>#N/A</v>
      </c>
      <c r="L682" t="e">
        <f>VLOOKUP(C682,'Location Data'!$C$5:$G$1004,5,FALSE)</f>
        <v>#N/A</v>
      </c>
    </row>
    <row r="683" spans="1:12" x14ac:dyDescent="0.2">
      <c r="A683">
        <f>'Shipment Data for Provisioning'!B688</f>
        <v>0</v>
      </c>
      <c r="B683">
        <f>'Shipment Data for Provisioning'!C688</f>
        <v>0</v>
      </c>
      <c r="C683">
        <f>'Shipment Data for Provisioning'!D688</f>
        <v>0</v>
      </c>
      <c r="D683">
        <f>'Shipment Data for Provisioning'!E688</f>
        <v>0</v>
      </c>
      <c r="E683">
        <f>'Shipment Data for Provisioning'!F688</f>
        <v>0</v>
      </c>
      <c r="F683">
        <f>'Shipment Data for Provisioning'!G688</f>
        <v>0</v>
      </c>
      <c r="G683">
        <f>'Shipment Data for Provisioning'!H688</f>
        <v>0</v>
      </c>
      <c r="H683">
        <f>'Shipment Data for Provisioning'!I688</f>
        <v>0</v>
      </c>
      <c r="I683" t="e">
        <f>VLOOKUP(B683,'Location Data'!$C$5:$G$1004,4,FALSE)</f>
        <v>#N/A</v>
      </c>
      <c r="J683" t="e">
        <f>VLOOKUP(B683,'Location Data'!$C$5:$G$1004,5,FALSE)</f>
        <v>#N/A</v>
      </c>
      <c r="K683" t="e">
        <f>VLOOKUP(C683,'Location Data'!$C$5:$G$1004,4,FALSE)</f>
        <v>#N/A</v>
      </c>
      <c r="L683" t="e">
        <f>VLOOKUP(C683,'Location Data'!$C$5:$G$1004,5,FALSE)</f>
        <v>#N/A</v>
      </c>
    </row>
    <row r="684" spans="1:12" x14ac:dyDescent="0.2">
      <c r="A684">
        <f>'Shipment Data for Provisioning'!B689</f>
        <v>0</v>
      </c>
      <c r="B684">
        <f>'Shipment Data for Provisioning'!C689</f>
        <v>0</v>
      </c>
      <c r="C684">
        <f>'Shipment Data for Provisioning'!D689</f>
        <v>0</v>
      </c>
      <c r="D684">
        <f>'Shipment Data for Provisioning'!E689</f>
        <v>0</v>
      </c>
      <c r="E684">
        <f>'Shipment Data for Provisioning'!F689</f>
        <v>0</v>
      </c>
      <c r="F684">
        <f>'Shipment Data for Provisioning'!G689</f>
        <v>0</v>
      </c>
      <c r="G684">
        <f>'Shipment Data for Provisioning'!H689</f>
        <v>0</v>
      </c>
      <c r="H684">
        <f>'Shipment Data for Provisioning'!I689</f>
        <v>0</v>
      </c>
      <c r="I684" t="e">
        <f>VLOOKUP(B684,'Location Data'!$C$5:$G$1004,4,FALSE)</f>
        <v>#N/A</v>
      </c>
      <c r="J684" t="e">
        <f>VLOOKUP(B684,'Location Data'!$C$5:$G$1004,5,FALSE)</f>
        <v>#N/A</v>
      </c>
      <c r="K684" t="e">
        <f>VLOOKUP(C684,'Location Data'!$C$5:$G$1004,4,FALSE)</f>
        <v>#N/A</v>
      </c>
      <c r="L684" t="e">
        <f>VLOOKUP(C684,'Location Data'!$C$5:$G$1004,5,FALSE)</f>
        <v>#N/A</v>
      </c>
    </row>
    <row r="685" spans="1:12" x14ac:dyDescent="0.2">
      <c r="A685">
        <f>'Shipment Data for Provisioning'!B690</f>
        <v>0</v>
      </c>
      <c r="B685">
        <f>'Shipment Data for Provisioning'!C690</f>
        <v>0</v>
      </c>
      <c r="C685">
        <f>'Shipment Data for Provisioning'!D690</f>
        <v>0</v>
      </c>
      <c r="D685">
        <f>'Shipment Data for Provisioning'!E690</f>
        <v>0</v>
      </c>
      <c r="E685">
        <f>'Shipment Data for Provisioning'!F690</f>
        <v>0</v>
      </c>
      <c r="F685">
        <f>'Shipment Data for Provisioning'!G690</f>
        <v>0</v>
      </c>
      <c r="G685">
        <f>'Shipment Data for Provisioning'!H690</f>
        <v>0</v>
      </c>
      <c r="H685">
        <f>'Shipment Data for Provisioning'!I690</f>
        <v>0</v>
      </c>
      <c r="I685" t="e">
        <f>VLOOKUP(B685,'Location Data'!$C$5:$G$1004,4,FALSE)</f>
        <v>#N/A</v>
      </c>
      <c r="J685" t="e">
        <f>VLOOKUP(B685,'Location Data'!$C$5:$G$1004,5,FALSE)</f>
        <v>#N/A</v>
      </c>
      <c r="K685" t="e">
        <f>VLOOKUP(C685,'Location Data'!$C$5:$G$1004,4,FALSE)</f>
        <v>#N/A</v>
      </c>
      <c r="L685" t="e">
        <f>VLOOKUP(C685,'Location Data'!$C$5:$G$1004,5,FALSE)</f>
        <v>#N/A</v>
      </c>
    </row>
    <row r="686" spans="1:12" x14ac:dyDescent="0.2">
      <c r="A686">
        <f>'Shipment Data for Provisioning'!B691</f>
        <v>0</v>
      </c>
      <c r="B686">
        <f>'Shipment Data for Provisioning'!C691</f>
        <v>0</v>
      </c>
      <c r="C686">
        <f>'Shipment Data for Provisioning'!D691</f>
        <v>0</v>
      </c>
      <c r="D686">
        <f>'Shipment Data for Provisioning'!E691</f>
        <v>0</v>
      </c>
      <c r="E686">
        <f>'Shipment Data for Provisioning'!F691</f>
        <v>0</v>
      </c>
      <c r="F686">
        <f>'Shipment Data for Provisioning'!G691</f>
        <v>0</v>
      </c>
      <c r="G686">
        <f>'Shipment Data for Provisioning'!H691</f>
        <v>0</v>
      </c>
      <c r="H686">
        <f>'Shipment Data for Provisioning'!I691</f>
        <v>0</v>
      </c>
      <c r="I686" t="e">
        <f>VLOOKUP(B686,'Location Data'!$C$5:$G$1004,4,FALSE)</f>
        <v>#N/A</v>
      </c>
      <c r="J686" t="e">
        <f>VLOOKUP(B686,'Location Data'!$C$5:$G$1004,5,FALSE)</f>
        <v>#N/A</v>
      </c>
      <c r="K686" t="e">
        <f>VLOOKUP(C686,'Location Data'!$C$5:$G$1004,4,FALSE)</f>
        <v>#N/A</v>
      </c>
      <c r="L686" t="e">
        <f>VLOOKUP(C686,'Location Data'!$C$5:$G$1004,5,FALSE)</f>
        <v>#N/A</v>
      </c>
    </row>
    <row r="687" spans="1:12" x14ac:dyDescent="0.2">
      <c r="A687">
        <f>'Shipment Data for Provisioning'!B692</f>
        <v>0</v>
      </c>
      <c r="B687">
        <f>'Shipment Data for Provisioning'!C692</f>
        <v>0</v>
      </c>
      <c r="C687">
        <f>'Shipment Data for Provisioning'!D692</f>
        <v>0</v>
      </c>
      <c r="D687">
        <f>'Shipment Data for Provisioning'!E692</f>
        <v>0</v>
      </c>
      <c r="E687">
        <f>'Shipment Data for Provisioning'!F692</f>
        <v>0</v>
      </c>
      <c r="F687">
        <f>'Shipment Data for Provisioning'!G692</f>
        <v>0</v>
      </c>
      <c r="G687">
        <f>'Shipment Data for Provisioning'!H692</f>
        <v>0</v>
      </c>
      <c r="H687">
        <f>'Shipment Data for Provisioning'!I692</f>
        <v>0</v>
      </c>
      <c r="I687" t="e">
        <f>VLOOKUP(B687,'Location Data'!$C$5:$G$1004,4,FALSE)</f>
        <v>#N/A</v>
      </c>
      <c r="J687" t="e">
        <f>VLOOKUP(B687,'Location Data'!$C$5:$G$1004,5,FALSE)</f>
        <v>#N/A</v>
      </c>
      <c r="K687" t="e">
        <f>VLOOKUP(C687,'Location Data'!$C$5:$G$1004,4,FALSE)</f>
        <v>#N/A</v>
      </c>
      <c r="L687" t="e">
        <f>VLOOKUP(C687,'Location Data'!$C$5:$G$1004,5,FALSE)</f>
        <v>#N/A</v>
      </c>
    </row>
    <row r="688" spans="1:12" x14ac:dyDescent="0.2">
      <c r="A688">
        <f>'Shipment Data for Provisioning'!B693</f>
        <v>0</v>
      </c>
      <c r="B688">
        <f>'Shipment Data for Provisioning'!C693</f>
        <v>0</v>
      </c>
      <c r="C688">
        <f>'Shipment Data for Provisioning'!D693</f>
        <v>0</v>
      </c>
      <c r="D688">
        <f>'Shipment Data for Provisioning'!E693</f>
        <v>0</v>
      </c>
      <c r="E688">
        <f>'Shipment Data for Provisioning'!F693</f>
        <v>0</v>
      </c>
      <c r="F688">
        <f>'Shipment Data for Provisioning'!G693</f>
        <v>0</v>
      </c>
      <c r="G688">
        <f>'Shipment Data for Provisioning'!H693</f>
        <v>0</v>
      </c>
      <c r="H688">
        <f>'Shipment Data for Provisioning'!I693</f>
        <v>0</v>
      </c>
      <c r="I688" t="e">
        <f>VLOOKUP(B688,'Location Data'!$C$5:$G$1004,4,FALSE)</f>
        <v>#N/A</v>
      </c>
      <c r="J688" t="e">
        <f>VLOOKUP(B688,'Location Data'!$C$5:$G$1004,5,FALSE)</f>
        <v>#N/A</v>
      </c>
      <c r="K688" t="e">
        <f>VLOOKUP(C688,'Location Data'!$C$5:$G$1004,4,FALSE)</f>
        <v>#N/A</v>
      </c>
      <c r="L688" t="e">
        <f>VLOOKUP(C688,'Location Data'!$C$5:$G$1004,5,FALSE)</f>
        <v>#N/A</v>
      </c>
    </row>
    <row r="689" spans="1:12" x14ac:dyDescent="0.2">
      <c r="A689">
        <f>'Shipment Data for Provisioning'!B694</f>
        <v>0</v>
      </c>
      <c r="B689">
        <f>'Shipment Data for Provisioning'!C694</f>
        <v>0</v>
      </c>
      <c r="C689">
        <f>'Shipment Data for Provisioning'!D694</f>
        <v>0</v>
      </c>
      <c r="D689">
        <f>'Shipment Data for Provisioning'!E694</f>
        <v>0</v>
      </c>
      <c r="E689">
        <f>'Shipment Data for Provisioning'!F694</f>
        <v>0</v>
      </c>
      <c r="F689">
        <f>'Shipment Data for Provisioning'!G694</f>
        <v>0</v>
      </c>
      <c r="G689">
        <f>'Shipment Data for Provisioning'!H694</f>
        <v>0</v>
      </c>
      <c r="H689">
        <f>'Shipment Data for Provisioning'!I694</f>
        <v>0</v>
      </c>
      <c r="I689" t="e">
        <f>VLOOKUP(B689,'Location Data'!$C$5:$G$1004,4,FALSE)</f>
        <v>#N/A</v>
      </c>
      <c r="J689" t="e">
        <f>VLOOKUP(B689,'Location Data'!$C$5:$G$1004,5,FALSE)</f>
        <v>#N/A</v>
      </c>
      <c r="K689" t="e">
        <f>VLOOKUP(C689,'Location Data'!$C$5:$G$1004,4,FALSE)</f>
        <v>#N/A</v>
      </c>
      <c r="L689" t="e">
        <f>VLOOKUP(C689,'Location Data'!$C$5:$G$1004,5,FALSE)</f>
        <v>#N/A</v>
      </c>
    </row>
    <row r="690" spans="1:12" x14ac:dyDescent="0.2">
      <c r="A690">
        <f>'Shipment Data for Provisioning'!B695</f>
        <v>0</v>
      </c>
      <c r="B690">
        <f>'Shipment Data for Provisioning'!C695</f>
        <v>0</v>
      </c>
      <c r="C690">
        <f>'Shipment Data for Provisioning'!D695</f>
        <v>0</v>
      </c>
      <c r="D690">
        <f>'Shipment Data for Provisioning'!E695</f>
        <v>0</v>
      </c>
      <c r="E690">
        <f>'Shipment Data for Provisioning'!F695</f>
        <v>0</v>
      </c>
      <c r="F690">
        <f>'Shipment Data for Provisioning'!G695</f>
        <v>0</v>
      </c>
      <c r="G690">
        <f>'Shipment Data for Provisioning'!H695</f>
        <v>0</v>
      </c>
      <c r="H690">
        <f>'Shipment Data for Provisioning'!I695</f>
        <v>0</v>
      </c>
      <c r="I690" t="e">
        <f>VLOOKUP(B690,'Location Data'!$C$5:$G$1004,4,FALSE)</f>
        <v>#N/A</v>
      </c>
      <c r="J690" t="e">
        <f>VLOOKUP(B690,'Location Data'!$C$5:$G$1004,5,FALSE)</f>
        <v>#N/A</v>
      </c>
      <c r="K690" t="e">
        <f>VLOOKUP(C690,'Location Data'!$C$5:$G$1004,4,FALSE)</f>
        <v>#N/A</v>
      </c>
      <c r="L690" t="e">
        <f>VLOOKUP(C690,'Location Data'!$C$5:$G$1004,5,FALSE)</f>
        <v>#N/A</v>
      </c>
    </row>
    <row r="691" spans="1:12" x14ac:dyDescent="0.2">
      <c r="A691">
        <f>'Shipment Data for Provisioning'!B696</f>
        <v>0</v>
      </c>
      <c r="B691">
        <f>'Shipment Data for Provisioning'!C696</f>
        <v>0</v>
      </c>
      <c r="C691">
        <f>'Shipment Data for Provisioning'!D696</f>
        <v>0</v>
      </c>
      <c r="D691">
        <f>'Shipment Data for Provisioning'!E696</f>
        <v>0</v>
      </c>
      <c r="E691">
        <f>'Shipment Data for Provisioning'!F696</f>
        <v>0</v>
      </c>
      <c r="F691">
        <f>'Shipment Data for Provisioning'!G696</f>
        <v>0</v>
      </c>
      <c r="G691">
        <f>'Shipment Data for Provisioning'!H696</f>
        <v>0</v>
      </c>
      <c r="H691">
        <f>'Shipment Data for Provisioning'!I696</f>
        <v>0</v>
      </c>
      <c r="I691" t="e">
        <f>VLOOKUP(B691,'Location Data'!$C$5:$G$1004,4,FALSE)</f>
        <v>#N/A</v>
      </c>
      <c r="J691" t="e">
        <f>VLOOKUP(B691,'Location Data'!$C$5:$G$1004,5,FALSE)</f>
        <v>#N/A</v>
      </c>
      <c r="K691" t="e">
        <f>VLOOKUP(C691,'Location Data'!$C$5:$G$1004,4,FALSE)</f>
        <v>#N/A</v>
      </c>
      <c r="L691" t="e">
        <f>VLOOKUP(C691,'Location Data'!$C$5:$G$1004,5,FALSE)</f>
        <v>#N/A</v>
      </c>
    </row>
    <row r="692" spans="1:12" x14ac:dyDescent="0.2">
      <c r="A692">
        <f>'Shipment Data for Provisioning'!B697</f>
        <v>0</v>
      </c>
      <c r="B692">
        <f>'Shipment Data for Provisioning'!C697</f>
        <v>0</v>
      </c>
      <c r="C692">
        <f>'Shipment Data for Provisioning'!D697</f>
        <v>0</v>
      </c>
      <c r="D692">
        <f>'Shipment Data for Provisioning'!E697</f>
        <v>0</v>
      </c>
      <c r="E692">
        <f>'Shipment Data for Provisioning'!F697</f>
        <v>0</v>
      </c>
      <c r="F692">
        <f>'Shipment Data for Provisioning'!G697</f>
        <v>0</v>
      </c>
      <c r="G692">
        <f>'Shipment Data for Provisioning'!H697</f>
        <v>0</v>
      </c>
      <c r="H692">
        <f>'Shipment Data for Provisioning'!I697</f>
        <v>0</v>
      </c>
      <c r="I692" t="e">
        <f>VLOOKUP(B692,'Location Data'!$C$5:$G$1004,4,FALSE)</f>
        <v>#N/A</v>
      </c>
      <c r="J692" t="e">
        <f>VLOOKUP(B692,'Location Data'!$C$5:$G$1004,5,FALSE)</f>
        <v>#N/A</v>
      </c>
      <c r="K692" t="e">
        <f>VLOOKUP(C692,'Location Data'!$C$5:$G$1004,4,FALSE)</f>
        <v>#N/A</v>
      </c>
      <c r="L692" t="e">
        <f>VLOOKUP(C692,'Location Data'!$C$5:$G$1004,5,FALSE)</f>
        <v>#N/A</v>
      </c>
    </row>
    <row r="693" spans="1:12" x14ac:dyDescent="0.2">
      <c r="A693">
        <f>'Shipment Data for Provisioning'!B698</f>
        <v>0</v>
      </c>
      <c r="B693">
        <f>'Shipment Data for Provisioning'!C698</f>
        <v>0</v>
      </c>
      <c r="C693">
        <f>'Shipment Data for Provisioning'!D698</f>
        <v>0</v>
      </c>
      <c r="D693">
        <f>'Shipment Data for Provisioning'!E698</f>
        <v>0</v>
      </c>
      <c r="E693">
        <f>'Shipment Data for Provisioning'!F698</f>
        <v>0</v>
      </c>
      <c r="F693">
        <f>'Shipment Data for Provisioning'!G698</f>
        <v>0</v>
      </c>
      <c r="G693">
        <f>'Shipment Data for Provisioning'!H698</f>
        <v>0</v>
      </c>
      <c r="H693">
        <f>'Shipment Data for Provisioning'!I698</f>
        <v>0</v>
      </c>
      <c r="I693" t="e">
        <f>VLOOKUP(B693,'Location Data'!$C$5:$G$1004,4,FALSE)</f>
        <v>#N/A</v>
      </c>
      <c r="J693" t="e">
        <f>VLOOKUP(B693,'Location Data'!$C$5:$G$1004,5,FALSE)</f>
        <v>#N/A</v>
      </c>
      <c r="K693" t="e">
        <f>VLOOKUP(C693,'Location Data'!$C$5:$G$1004,4,FALSE)</f>
        <v>#N/A</v>
      </c>
      <c r="L693" t="e">
        <f>VLOOKUP(C693,'Location Data'!$C$5:$G$1004,5,FALSE)</f>
        <v>#N/A</v>
      </c>
    </row>
    <row r="694" spans="1:12" x14ac:dyDescent="0.2">
      <c r="A694">
        <f>'Shipment Data for Provisioning'!B699</f>
        <v>0</v>
      </c>
      <c r="B694">
        <f>'Shipment Data for Provisioning'!C699</f>
        <v>0</v>
      </c>
      <c r="C694">
        <f>'Shipment Data for Provisioning'!D699</f>
        <v>0</v>
      </c>
      <c r="D694">
        <f>'Shipment Data for Provisioning'!E699</f>
        <v>0</v>
      </c>
      <c r="E694">
        <f>'Shipment Data for Provisioning'!F699</f>
        <v>0</v>
      </c>
      <c r="F694">
        <f>'Shipment Data for Provisioning'!G699</f>
        <v>0</v>
      </c>
      <c r="G694">
        <f>'Shipment Data for Provisioning'!H699</f>
        <v>0</v>
      </c>
      <c r="H694">
        <f>'Shipment Data for Provisioning'!I699</f>
        <v>0</v>
      </c>
      <c r="I694" t="e">
        <f>VLOOKUP(B694,'Location Data'!$C$5:$G$1004,4,FALSE)</f>
        <v>#N/A</v>
      </c>
      <c r="J694" t="e">
        <f>VLOOKUP(B694,'Location Data'!$C$5:$G$1004,5,FALSE)</f>
        <v>#N/A</v>
      </c>
      <c r="K694" t="e">
        <f>VLOOKUP(C694,'Location Data'!$C$5:$G$1004,4,FALSE)</f>
        <v>#N/A</v>
      </c>
      <c r="L694" t="e">
        <f>VLOOKUP(C694,'Location Data'!$C$5:$G$1004,5,FALSE)</f>
        <v>#N/A</v>
      </c>
    </row>
    <row r="695" spans="1:12" x14ac:dyDescent="0.2">
      <c r="A695">
        <f>'Shipment Data for Provisioning'!B700</f>
        <v>0</v>
      </c>
      <c r="B695">
        <f>'Shipment Data for Provisioning'!C700</f>
        <v>0</v>
      </c>
      <c r="C695">
        <f>'Shipment Data for Provisioning'!D700</f>
        <v>0</v>
      </c>
      <c r="D695">
        <f>'Shipment Data for Provisioning'!E700</f>
        <v>0</v>
      </c>
      <c r="E695">
        <f>'Shipment Data for Provisioning'!F700</f>
        <v>0</v>
      </c>
      <c r="F695">
        <f>'Shipment Data for Provisioning'!G700</f>
        <v>0</v>
      </c>
      <c r="G695">
        <f>'Shipment Data for Provisioning'!H700</f>
        <v>0</v>
      </c>
      <c r="H695">
        <f>'Shipment Data for Provisioning'!I700</f>
        <v>0</v>
      </c>
      <c r="I695" t="e">
        <f>VLOOKUP(B695,'Location Data'!$C$5:$G$1004,4,FALSE)</f>
        <v>#N/A</v>
      </c>
      <c r="J695" t="e">
        <f>VLOOKUP(B695,'Location Data'!$C$5:$G$1004,5,FALSE)</f>
        <v>#N/A</v>
      </c>
      <c r="K695" t="e">
        <f>VLOOKUP(C695,'Location Data'!$C$5:$G$1004,4,FALSE)</f>
        <v>#N/A</v>
      </c>
      <c r="L695" t="e">
        <f>VLOOKUP(C695,'Location Data'!$C$5:$G$1004,5,FALSE)</f>
        <v>#N/A</v>
      </c>
    </row>
    <row r="696" spans="1:12" x14ac:dyDescent="0.2">
      <c r="A696">
        <f>'Shipment Data for Provisioning'!B701</f>
        <v>0</v>
      </c>
      <c r="B696">
        <f>'Shipment Data for Provisioning'!C701</f>
        <v>0</v>
      </c>
      <c r="C696">
        <f>'Shipment Data for Provisioning'!D701</f>
        <v>0</v>
      </c>
      <c r="D696">
        <f>'Shipment Data for Provisioning'!E701</f>
        <v>0</v>
      </c>
      <c r="E696">
        <f>'Shipment Data for Provisioning'!F701</f>
        <v>0</v>
      </c>
      <c r="F696">
        <f>'Shipment Data for Provisioning'!G701</f>
        <v>0</v>
      </c>
      <c r="G696">
        <f>'Shipment Data for Provisioning'!H701</f>
        <v>0</v>
      </c>
      <c r="H696">
        <f>'Shipment Data for Provisioning'!I701</f>
        <v>0</v>
      </c>
      <c r="I696" t="e">
        <f>VLOOKUP(B696,'Location Data'!$C$5:$G$1004,4,FALSE)</f>
        <v>#N/A</v>
      </c>
      <c r="J696" t="e">
        <f>VLOOKUP(B696,'Location Data'!$C$5:$G$1004,5,FALSE)</f>
        <v>#N/A</v>
      </c>
      <c r="K696" t="e">
        <f>VLOOKUP(C696,'Location Data'!$C$5:$G$1004,4,FALSE)</f>
        <v>#N/A</v>
      </c>
      <c r="L696" t="e">
        <f>VLOOKUP(C696,'Location Data'!$C$5:$G$1004,5,FALSE)</f>
        <v>#N/A</v>
      </c>
    </row>
    <row r="697" spans="1:12" x14ac:dyDescent="0.2">
      <c r="A697">
        <f>'Shipment Data for Provisioning'!B702</f>
        <v>0</v>
      </c>
      <c r="B697">
        <f>'Shipment Data for Provisioning'!C702</f>
        <v>0</v>
      </c>
      <c r="C697">
        <f>'Shipment Data for Provisioning'!D702</f>
        <v>0</v>
      </c>
      <c r="D697">
        <f>'Shipment Data for Provisioning'!E702</f>
        <v>0</v>
      </c>
      <c r="E697">
        <f>'Shipment Data for Provisioning'!F702</f>
        <v>0</v>
      </c>
      <c r="F697">
        <f>'Shipment Data for Provisioning'!G702</f>
        <v>0</v>
      </c>
      <c r="G697">
        <f>'Shipment Data for Provisioning'!H702</f>
        <v>0</v>
      </c>
      <c r="H697">
        <f>'Shipment Data for Provisioning'!I702</f>
        <v>0</v>
      </c>
      <c r="I697" t="e">
        <f>VLOOKUP(B697,'Location Data'!$C$5:$G$1004,4,FALSE)</f>
        <v>#N/A</v>
      </c>
      <c r="J697" t="e">
        <f>VLOOKUP(B697,'Location Data'!$C$5:$G$1004,5,FALSE)</f>
        <v>#N/A</v>
      </c>
      <c r="K697" t="e">
        <f>VLOOKUP(C697,'Location Data'!$C$5:$G$1004,4,FALSE)</f>
        <v>#N/A</v>
      </c>
      <c r="L697" t="e">
        <f>VLOOKUP(C697,'Location Data'!$C$5:$G$1004,5,FALSE)</f>
        <v>#N/A</v>
      </c>
    </row>
    <row r="698" spans="1:12" x14ac:dyDescent="0.2">
      <c r="A698">
        <f>'Shipment Data for Provisioning'!B703</f>
        <v>0</v>
      </c>
      <c r="B698">
        <f>'Shipment Data for Provisioning'!C703</f>
        <v>0</v>
      </c>
      <c r="C698">
        <f>'Shipment Data for Provisioning'!D703</f>
        <v>0</v>
      </c>
      <c r="D698">
        <f>'Shipment Data for Provisioning'!E703</f>
        <v>0</v>
      </c>
      <c r="E698">
        <f>'Shipment Data for Provisioning'!F703</f>
        <v>0</v>
      </c>
      <c r="F698">
        <f>'Shipment Data for Provisioning'!G703</f>
        <v>0</v>
      </c>
      <c r="G698">
        <f>'Shipment Data for Provisioning'!H703</f>
        <v>0</v>
      </c>
      <c r="H698">
        <f>'Shipment Data for Provisioning'!I703</f>
        <v>0</v>
      </c>
      <c r="I698" t="e">
        <f>VLOOKUP(B698,'Location Data'!$C$5:$G$1004,4,FALSE)</f>
        <v>#N/A</v>
      </c>
      <c r="J698" t="e">
        <f>VLOOKUP(B698,'Location Data'!$C$5:$G$1004,5,FALSE)</f>
        <v>#N/A</v>
      </c>
      <c r="K698" t="e">
        <f>VLOOKUP(C698,'Location Data'!$C$5:$G$1004,4,FALSE)</f>
        <v>#N/A</v>
      </c>
      <c r="L698" t="e">
        <f>VLOOKUP(C698,'Location Data'!$C$5:$G$1004,5,FALSE)</f>
        <v>#N/A</v>
      </c>
    </row>
    <row r="699" spans="1:12" x14ac:dyDescent="0.2">
      <c r="A699">
        <f>'Shipment Data for Provisioning'!B704</f>
        <v>0</v>
      </c>
      <c r="B699">
        <f>'Shipment Data for Provisioning'!C704</f>
        <v>0</v>
      </c>
      <c r="C699">
        <f>'Shipment Data for Provisioning'!D704</f>
        <v>0</v>
      </c>
      <c r="D699">
        <f>'Shipment Data for Provisioning'!E704</f>
        <v>0</v>
      </c>
      <c r="E699">
        <f>'Shipment Data for Provisioning'!F704</f>
        <v>0</v>
      </c>
      <c r="F699">
        <f>'Shipment Data for Provisioning'!G704</f>
        <v>0</v>
      </c>
      <c r="G699">
        <f>'Shipment Data for Provisioning'!H704</f>
        <v>0</v>
      </c>
      <c r="H699">
        <f>'Shipment Data for Provisioning'!I704</f>
        <v>0</v>
      </c>
      <c r="I699" t="e">
        <f>VLOOKUP(B699,'Location Data'!$C$5:$G$1004,4,FALSE)</f>
        <v>#N/A</v>
      </c>
      <c r="J699" t="e">
        <f>VLOOKUP(B699,'Location Data'!$C$5:$G$1004,5,FALSE)</f>
        <v>#N/A</v>
      </c>
      <c r="K699" t="e">
        <f>VLOOKUP(C699,'Location Data'!$C$5:$G$1004,4,FALSE)</f>
        <v>#N/A</v>
      </c>
      <c r="L699" t="e">
        <f>VLOOKUP(C699,'Location Data'!$C$5:$G$1004,5,FALSE)</f>
        <v>#N/A</v>
      </c>
    </row>
    <row r="700" spans="1:12" x14ac:dyDescent="0.2">
      <c r="A700">
        <f>'Shipment Data for Provisioning'!B705</f>
        <v>0</v>
      </c>
      <c r="B700">
        <f>'Shipment Data for Provisioning'!C705</f>
        <v>0</v>
      </c>
      <c r="C700">
        <f>'Shipment Data for Provisioning'!D705</f>
        <v>0</v>
      </c>
      <c r="D700">
        <f>'Shipment Data for Provisioning'!E705</f>
        <v>0</v>
      </c>
      <c r="E700">
        <f>'Shipment Data for Provisioning'!F705</f>
        <v>0</v>
      </c>
      <c r="F700">
        <f>'Shipment Data for Provisioning'!G705</f>
        <v>0</v>
      </c>
      <c r="G700">
        <f>'Shipment Data for Provisioning'!H705</f>
        <v>0</v>
      </c>
      <c r="H700">
        <f>'Shipment Data for Provisioning'!I705</f>
        <v>0</v>
      </c>
      <c r="I700" t="e">
        <f>VLOOKUP(B700,'Location Data'!$C$5:$G$1004,4,FALSE)</f>
        <v>#N/A</v>
      </c>
      <c r="J700" t="e">
        <f>VLOOKUP(B700,'Location Data'!$C$5:$G$1004,5,FALSE)</f>
        <v>#N/A</v>
      </c>
      <c r="K700" t="e">
        <f>VLOOKUP(C700,'Location Data'!$C$5:$G$1004,4,FALSE)</f>
        <v>#N/A</v>
      </c>
      <c r="L700" t="e">
        <f>VLOOKUP(C700,'Location Data'!$C$5:$G$1004,5,FALSE)</f>
        <v>#N/A</v>
      </c>
    </row>
    <row r="701" spans="1:12" x14ac:dyDescent="0.2">
      <c r="A701">
        <f>'Shipment Data for Provisioning'!B706</f>
        <v>0</v>
      </c>
      <c r="B701">
        <f>'Shipment Data for Provisioning'!C706</f>
        <v>0</v>
      </c>
      <c r="C701">
        <f>'Shipment Data for Provisioning'!D706</f>
        <v>0</v>
      </c>
      <c r="D701">
        <f>'Shipment Data for Provisioning'!E706</f>
        <v>0</v>
      </c>
      <c r="E701">
        <f>'Shipment Data for Provisioning'!F706</f>
        <v>0</v>
      </c>
      <c r="F701">
        <f>'Shipment Data for Provisioning'!G706</f>
        <v>0</v>
      </c>
      <c r="G701">
        <f>'Shipment Data for Provisioning'!H706</f>
        <v>0</v>
      </c>
      <c r="H701">
        <f>'Shipment Data for Provisioning'!I706</f>
        <v>0</v>
      </c>
      <c r="I701" t="e">
        <f>VLOOKUP(B701,'Location Data'!$C$5:$G$1004,4,FALSE)</f>
        <v>#N/A</v>
      </c>
      <c r="J701" t="e">
        <f>VLOOKUP(B701,'Location Data'!$C$5:$G$1004,5,FALSE)</f>
        <v>#N/A</v>
      </c>
      <c r="K701" t="e">
        <f>VLOOKUP(C701,'Location Data'!$C$5:$G$1004,4,FALSE)</f>
        <v>#N/A</v>
      </c>
      <c r="L701" t="e">
        <f>VLOOKUP(C701,'Location Data'!$C$5:$G$1004,5,FALSE)</f>
        <v>#N/A</v>
      </c>
    </row>
    <row r="702" spans="1:12" x14ac:dyDescent="0.2">
      <c r="A702">
        <f>'Shipment Data for Provisioning'!B707</f>
        <v>0</v>
      </c>
      <c r="B702">
        <f>'Shipment Data for Provisioning'!C707</f>
        <v>0</v>
      </c>
      <c r="C702">
        <f>'Shipment Data for Provisioning'!D707</f>
        <v>0</v>
      </c>
      <c r="D702">
        <f>'Shipment Data for Provisioning'!E707</f>
        <v>0</v>
      </c>
      <c r="E702">
        <f>'Shipment Data for Provisioning'!F707</f>
        <v>0</v>
      </c>
      <c r="F702">
        <f>'Shipment Data for Provisioning'!G707</f>
        <v>0</v>
      </c>
      <c r="G702">
        <f>'Shipment Data for Provisioning'!H707</f>
        <v>0</v>
      </c>
      <c r="H702">
        <f>'Shipment Data for Provisioning'!I707</f>
        <v>0</v>
      </c>
      <c r="I702" t="e">
        <f>VLOOKUP(B702,'Location Data'!$C$5:$G$1004,4,FALSE)</f>
        <v>#N/A</v>
      </c>
      <c r="J702" t="e">
        <f>VLOOKUP(B702,'Location Data'!$C$5:$G$1004,5,FALSE)</f>
        <v>#N/A</v>
      </c>
      <c r="K702" t="e">
        <f>VLOOKUP(C702,'Location Data'!$C$5:$G$1004,4,FALSE)</f>
        <v>#N/A</v>
      </c>
      <c r="L702" t="e">
        <f>VLOOKUP(C702,'Location Data'!$C$5:$G$1004,5,FALSE)</f>
        <v>#N/A</v>
      </c>
    </row>
    <row r="703" spans="1:12" x14ac:dyDescent="0.2">
      <c r="A703">
        <f>'Shipment Data for Provisioning'!B708</f>
        <v>0</v>
      </c>
      <c r="B703">
        <f>'Shipment Data for Provisioning'!C708</f>
        <v>0</v>
      </c>
      <c r="C703">
        <f>'Shipment Data for Provisioning'!D708</f>
        <v>0</v>
      </c>
      <c r="D703">
        <f>'Shipment Data for Provisioning'!E708</f>
        <v>0</v>
      </c>
      <c r="E703">
        <f>'Shipment Data for Provisioning'!F708</f>
        <v>0</v>
      </c>
      <c r="F703">
        <f>'Shipment Data for Provisioning'!G708</f>
        <v>0</v>
      </c>
      <c r="G703">
        <f>'Shipment Data for Provisioning'!H708</f>
        <v>0</v>
      </c>
      <c r="H703">
        <f>'Shipment Data for Provisioning'!I708</f>
        <v>0</v>
      </c>
      <c r="I703" t="e">
        <f>VLOOKUP(B703,'Location Data'!$C$5:$G$1004,4,FALSE)</f>
        <v>#N/A</v>
      </c>
      <c r="J703" t="e">
        <f>VLOOKUP(B703,'Location Data'!$C$5:$G$1004,5,FALSE)</f>
        <v>#N/A</v>
      </c>
      <c r="K703" t="e">
        <f>VLOOKUP(C703,'Location Data'!$C$5:$G$1004,4,FALSE)</f>
        <v>#N/A</v>
      </c>
      <c r="L703" t="e">
        <f>VLOOKUP(C703,'Location Data'!$C$5:$G$1004,5,FALSE)</f>
        <v>#N/A</v>
      </c>
    </row>
    <row r="704" spans="1:12" x14ac:dyDescent="0.2">
      <c r="A704">
        <f>'Shipment Data for Provisioning'!B709</f>
        <v>0</v>
      </c>
      <c r="B704">
        <f>'Shipment Data for Provisioning'!C709</f>
        <v>0</v>
      </c>
      <c r="C704">
        <f>'Shipment Data for Provisioning'!D709</f>
        <v>0</v>
      </c>
      <c r="D704">
        <f>'Shipment Data for Provisioning'!E709</f>
        <v>0</v>
      </c>
      <c r="E704">
        <f>'Shipment Data for Provisioning'!F709</f>
        <v>0</v>
      </c>
      <c r="F704">
        <f>'Shipment Data for Provisioning'!G709</f>
        <v>0</v>
      </c>
      <c r="G704">
        <f>'Shipment Data for Provisioning'!H709</f>
        <v>0</v>
      </c>
      <c r="H704">
        <f>'Shipment Data for Provisioning'!I709</f>
        <v>0</v>
      </c>
      <c r="I704" t="e">
        <f>VLOOKUP(B704,'Location Data'!$C$5:$G$1004,4,FALSE)</f>
        <v>#N/A</v>
      </c>
      <c r="J704" t="e">
        <f>VLOOKUP(B704,'Location Data'!$C$5:$G$1004,5,FALSE)</f>
        <v>#N/A</v>
      </c>
      <c r="K704" t="e">
        <f>VLOOKUP(C704,'Location Data'!$C$5:$G$1004,4,FALSE)</f>
        <v>#N/A</v>
      </c>
      <c r="L704" t="e">
        <f>VLOOKUP(C704,'Location Data'!$C$5:$G$1004,5,FALSE)</f>
        <v>#N/A</v>
      </c>
    </row>
    <row r="705" spans="1:12" x14ac:dyDescent="0.2">
      <c r="A705">
        <f>'Shipment Data for Provisioning'!B710</f>
        <v>0</v>
      </c>
      <c r="B705">
        <f>'Shipment Data for Provisioning'!C710</f>
        <v>0</v>
      </c>
      <c r="C705">
        <f>'Shipment Data for Provisioning'!D710</f>
        <v>0</v>
      </c>
      <c r="D705">
        <f>'Shipment Data for Provisioning'!E710</f>
        <v>0</v>
      </c>
      <c r="E705">
        <f>'Shipment Data for Provisioning'!F710</f>
        <v>0</v>
      </c>
      <c r="F705">
        <f>'Shipment Data for Provisioning'!G710</f>
        <v>0</v>
      </c>
      <c r="G705">
        <f>'Shipment Data for Provisioning'!H710</f>
        <v>0</v>
      </c>
      <c r="H705">
        <f>'Shipment Data for Provisioning'!I710</f>
        <v>0</v>
      </c>
      <c r="I705" t="e">
        <f>VLOOKUP(B705,'Location Data'!$C$5:$G$1004,4,FALSE)</f>
        <v>#N/A</v>
      </c>
      <c r="J705" t="e">
        <f>VLOOKUP(B705,'Location Data'!$C$5:$G$1004,5,FALSE)</f>
        <v>#N/A</v>
      </c>
      <c r="K705" t="e">
        <f>VLOOKUP(C705,'Location Data'!$C$5:$G$1004,4,FALSE)</f>
        <v>#N/A</v>
      </c>
      <c r="L705" t="e">
        <f>VLOOKUP(C705,'Location Data'!$C$5:$G$1004,5,FALSE)</f>
        <v>#N/A</v>
      </c>
    </row>
    <row r="706" spans="1:12" x14ac:dyDescent="0.2">
      <c r="A706">
        <f>'Shipment Data for Provisioning'!B711</f>
        <v>0</v>
      </c>
      <c r="B706">
        <f>'Shipment Data for Provisioning'!C711</f>
        <v>0</v>
      </c>
      <c r="C706">
        <f>'Shipment Data for Provisioning'!D711</f>
        <v>0</v>
      </c>
      <c r="D706">
        <f>'Shipment Data for Provisioning'!E711</f>
        <v>0</v>
      </c>
      <c r="E706">
        <f>'Shipment Data for Provisioning'!F711</f>
        <v>0</v>
      </c>
      <c r="F706">
        <f>'Shipment Data for Provisioning'!G711</f>
        <v>0</v>
      </c>
      <c r="G706">
        <f>'Shipment Data for Provisioning'!H711</f>
        <v>0</v>
      </c>
      <c r="H706">
        <f>'Shipment Data for Provisioning'!I711</f>
        <v>0</v>
      </c>
      <c r="I706" t="e">
        <f>VLOOKUP(B706,'Location Data'!$C$5:$G$1004,4,FALSE)</f>
        <v>#N/A</v>
      </c>
      <c r="J706" t="e">
        <f>VLOOKUP(B706,'Location Data'!$C$5:$G$1004,5,FALSE)</f>
        <v>#N/A</v>
      </c>
      <c r="K706" t="e">
        <f>VLOOKUP(C706,'Location Data'!$C$5:$G$1004,4,FALSE)</f>
        <v>#N/A</v>
      </c>
      <c r="L706" t="e">
        <f>VLOOKUP(C706,'Location Data'!$C$5:$G$1004,5,FALSE)</f>
        <v>#N/A</v>
      </c>
    </row>
    <row r="707" spans="1:12" x14ac:dyDescent="0.2">
      <c r="A707">
        <f>'Shipment Data for Provisioning'!B712</f>
        <v>0</v>
      </c>
      <c r="B707">
        <f>'Shipment Data for Provisioning'!C712</f>
        <v>0</v>
      </c>
      <c r="C707">
        <f>'Shipment Data for Provisioning'!D712</f>
        <v>0</v>
      </c>
      <c r="D707">
        <f>'Shipment Data for Provisioning'!E712</f>
        <v>0</v>
      </c>
      <c r="E707">
        <f>'Shipment Data for Provisioning'!F712</f>
        <v>0</v>
      </c>
      <c r="F707">
        <f>'Shipment Data for Provisioning'!G712</f>
        <v>0</v>
      </c>
      <c r="G707">
        <f>'Shipment Data for Provisioning'!H712</f>
        <v>0</v>
      </c>
      <c r="H707">
        <f>'Shipment Data for Provisioning'!I712</f>
        <v>0</v>
      </c>
      <c r="I707" t="e">
        <f>VLOOKUP(B707,'Location Data'!$C$5:$G$1004,4,FALSE)</f>
        <v>#N/A</v>
      </c>
      <c r="J707" t="e">
        <f>VLOOKUP(B707,'Location Data'!$C$5:$G$1004,5,FALSE)</f>
        <v>#N/A</v>
      </c>
      <c r="K707" t="e">
        <f>VLOOKUP(C707,'Location Data'!$C$5:$G$1004,4,FALSE)</f>
        <v>#N/A</v>
      </c>
      <c r="L707" t="e">
        <f>VLOOKUP(C707,'Location Data'!$C$5:$G$1004,5,FALSE)</f>
        <v>#N/A</v>
      </c>
    </row>
    <row r="708" spans="1:12" x14ac:dyDescent="0.2">
      <c r="A708">
        <f>'Shipment Data for Provisioning'!B713</f>
        <v>0</v>
      </c>
      <c r="B708">
        <f>'Shipment Data for Provisioning'!C713</f>
        <v>0</v>
      </c>
      <c r="C708">
        <f>'Shipment Data for Provisioning'!D713</f>
        <v>0</v>
      </c>
      <c r="D708">
        <f>'Shipment Data for Provisioning'!E713</f>
        <v>0</v>
      </c>
      <c r="E708">
        <f>'Shipment Data for Provisioning'!F713</f>
        <v>0</v>
      </c>
      <c r="F708">
        <f>'Shipment Data for Provisioning'!G713</f>
        <v>0</v>
      </c>
      <c r="G708">
        <f>'Shipment Data for Provisioning'!H713</f>
        <v>0</v>
      </c>
      <c r="H708">
        <f>'Shipment Data for Provisioning'!I713</f>
        <v>0</v>
      </c>
      <c r="I708" t="e">
        <f>VLOOKUP(B708,'Location Data'!$C$5:$G$1004,4,FALSE)</f>
        <v>#N/A</v>
      </c>
      <c r="J708" t="e">
        <f>VLOOKUP(B708,'Location Data'!$C$5:$G$1004,5,FALSE)</f>
        <v>#N/A</v>
      </c>
      <c r="K708" t="e">
        <f>VLOOKUP(C708,'Location Data'!$C$5:$G$1004,4,FALSE)</f>
        <v>#N/A</v>
      </c>
      <c r="L708" t="e">
        <f>VLOOKUP(C708,'Location Data'!$C$5:$G$1004,5,FALSE)</f>
        <v>#N/A</v>
      </c>
    </row>
    <row r="709" spans="1:12" x14ac:dyDescent="0.2">
      <c r="A709">
        <f>'Shipment Data for Provisioning'!B714</f>
        <v>0</v>
      </c>
      <c r="B709">
        <f>'Shipment Data for Provisioning'!C714</f>
        <v>0</v>
      </c>
      <c r="C709">
        <f>'Shipment Data for Provisioning'!D714</f>
        <v>0</v>
      </c>
      <c r="D709">
        <f>'Shipment Data for Provisioning'!E714</f>
        <v>0</v>
      </c>
      <c r="E709">
        <f>'Shipment Data for Provisioning'!F714</f>
        <v>0</v>
      </c>
      <c r="F709">
        <f>'Shipment Data for Provisioning'!G714</f>
        <v>0</v>
      </c>
      <c r="G709">
        <f>'Shipment Data for Provisioning'!H714</f>
        <v>0</v>
      </c>
      <c r="H709">
        <f>'Shipment Data for Provisioning'!I714</f>
        <v>0</v>
      </c>
      <c r="I709" t="e">
        <f>VLOOKUP(B709,'Location Data'!$C$5:$G$1004,4,FALSE)</f>
        <v>#N/A</v>
      </c>
      <c r="J709" t="e">
        <f>VLOOKUP(B709,'Location Data'!$C$5:$G$1004,5,FALSE)</f>
        <v>#N/A</v>
      </c>
      <c r="K709" t="e">
        <f>VLOOKUP(C709,'Location Data'!$C$5:$G$1004,4,FALSE)</f>
        <v>#N/A</v>
      </c>
      <c r="L709" t="e">
        <f>VLOOKUP(C709,'Location Data'!$C$5:$G$1004,5,FALSE)</f>
        <v>#N/A</v>
      </c>
    </row>
    <row r="710" spans="1:12" x14ac:dyDescent="0.2">
      <c r="A710">
        <f>'Shipment Data for Provisioning'!B715</f>
        <v>0</v>
      </c>
      <c r="B710">
        <f>'Shipment Data for Provisioning'!C715</f>
        <v>0</v>
      </c>
      <c r="C710">
        <f>'Shipment Data for Provisioning'!D715</f>
        <v>0</v>
      </c>
      <c r="D710">
        <f>'Shipment Data for Provisioning'!E715</f>
        <v>0</v>
      </c>
      <c r="E710">
        <f>'Shipment Data for Provisioning'!F715</f>
        <v>0</v>
      </c>
      <c r="F710">
        <f>'Shipment Data for Provisioning'!G715</f>
        <v>0</v>
      </c>
      <c r="G710">
        <f>'Shipment Data for Provisioning'!H715</f>
        <v>0</v>
      </c>
      <c r="H710">
        <f>'Shipment Data for Provisioning'!I715</f>
        <v>0</v>
      </c>
      <c r="I710" t="e">
        <f>VLOOKUP(B710,'Location Data'!$C$5:$G$1004,4,FALSE)</f>
        <v>#N/A</v>
      </c>
      <c r="J710" t="e">
        <f>VLOOKUP(B710,'Location Data'!$C$5:$G$1004,5,FALSE)</f>
        <v>#N/A</v>
      </c>
      <c r="K710" t="e">
        <f>VLOOKUP(C710,'Location Data'!$C$5:$G$1004,4,FALSE)</f>
        <v>#N/A</v>
      </c>
      <c r="L710" t="e">
        <f>VLOOKUP(C710,'Location Data'!$C$5:$G$1004,5,FALSE)</f>
        <v>#N/A</v>
      </c>
    </row>
    <row r="711" spans="1:12" x14ac:dyDescent="0.2">
      <c r="A711">
        <f>'Shipment Data for Provisioning'!B716</f>
        <v>0</v>
      </c>
      <c r="B711">
        <f>'Shipment Data for Provisioning'!C716</f>
        <v>0</v>
      </c>
      <c r="C711">
        <f>'Shipment Data for Provisioning'!D716</f>
        <v>0</v>
      </c>
      <c r="D711">
        <f>'Shipment Data for Provisioning'!E716</f>
        <v>0</v>
      </c>
      <c r="E711">
        <f>'Shipment Data for Provisioning'!F716</f>
        <v>0</v>
      </c>
      <c r="F711">
        <f>'Shipment Data for Provisioning'!G716</f>
        <v>0</v>
      </c>
      <c r="G711">
        <f>'Shipment Data for Provisioning'!H716</f>
        <v>0</v>
      </c>
      <c r="H711">
        <f>'Shipment Data for Provisioning'!I716</f>
        <v>0</v>
      </c>
      <c r="I711" t="e">
        <f>VLOOKUP(B711,'Location Data'!$C$5:$G$1004,4,FALSE)</f>
        <v>#N/A</v>
      </c>
      <c r="J711" t="e">
        <f>VLOOKUP(B711,'Location Data'!$C$5:$G$1004,5,FALSE)</f>
        <v>#N/A</v>
      </c>
      <c r="K711" t="e">
        <f>VLOOKUP(C711,'Location Data'!$C$5:$G$1004,4,FALSE)</f>
        <v>#N/A</v>
      </c>
      <c r="L711" t="e">
        <f>VLOOKUP(C711,'Location Data'!$C$5:$G$1004,5,FALSE)</f>
        <v>#N/A</v>
      </c>
    </row>
    <row r="712" spans="1:12" x14ac:dyDescent="0.2">
      <c r="A712">
        <f>'Shipment Data for Provisioning'!B717</f>
        <v>0</v>
      </c>
      <c r="B712">
        <f>'Shipment Data for Provisioning'!C717</f>
        <v>0</v>
      </c>
      <c r="C712">
        <f>'Shipment Data for Provisioning'!D717</f>
        <v>0</v>
      </c>
      <c r="D712">
        <f>'Shipment Data for Provisioning'!E717</f>
        <v>0</v>
      </c>
      <c r="E712">
        <f>'Shipment Data for Provisioning'!F717</f>
        <v>0</v>
      </c>
      <c r="F712">
        <f>'Shipment Data for Provisioning'!G717</f>
        <v>0</v>
      </c>
      <c r="G712">
        <f>'Shipment Data for Provisioning'!H717</f>
        <v>0</v>
      </c>
      <c r="H712">
        <f>'Shipment Data for Provisioning'!I717</f>
        <v>0</v>
      </c>
      <c r="I712" t="e">
        <f>VLOOKUP(B712,'Location Data'!$C$5:$G$1004,4,FALSE)</f>
        <v>#N/A</v>
      </c>
      <c r="J712" t="e">
        <f>VLOOKUP(B712,'Location Data'!$C$5:$G$1004,5,FALSE)</f>
        <v>#N/A</v>
      </c>
      <c r="K712" t="e">
        <f>VLOOKUP(C712,'Location Data'!$C$5:$G$1004,4,FALSE)</f>
        <v>#N/A</v>
      </c>
      <c r="L712" t="e">
        <f>VLOOKUP(C712,'Location Data'!$C$5:$G$1004,5,FALSE)</f>
        <v>#N/A</v>
      </c>
    </row>
    <row r="713" spans="1:12" x14ac:dyDescent="0.2">
      <c r="A713">
        <f>'Shipment Data for Provisioning'!B718</f>
        <v>0</v>
      </c>
      <c r="B713">
        <f>'Shipment Data for Provisioning'!C718</f>
        <v>0</v>
      </c>
      <c r="C713">
        <f>'Shipment Data for Provisioning'!D718</f>
        <v>0</v>
      </c>
      <c r="D713">
        <f>'Shipment Data for Provisioning'!E718</f>
        <v>0</v>
      </c>
      <c r="E713">
        <f>'Shipment Data for Provisioning'!F718</f>
        <v>0</v>
      </c>
      <c r="F713">
        <f>'Shipment Data for Provisioning'!G718</f>
        <v>0</v>
      </c>
      <c r="G713">
        <f>'Shipment Data for Provisioning'!H718</f>
        <v>0</v>
      </c>
      <c r="H713">
        <f>'Shipment Data for Provisioning'!I718</f>
        <v>0</v>
      </c>
      <c r="I713" t="e">
        <f>VLOOKUP(B713,'Location Data'!$C$5:$G$1004,4,FALSE)</f>
        <v>#N/A</v>
      </c>
      <c r="J713" t="e">
        <f>VLOOKUP(B713,'Location Data'!$C$5:$G$1004,5,FALSE)</f>
        <v>#N/A</v>
      </c>
      <c r="K713" t="e">
        <f>VLOOKUP(C713,'Location Data'!$C$5:$G$1004,4,FALSE)</f>
        <v>#N/A</v>
      </c>
      <c r="L713" t="e">
        <f>VLOOKUP(C713,'Location Data'!$C$5:$G$1004,5,FALSE)</f>
        <v>#N/A</v>
      </c>
    </row>
    <row r="714" spans="1:12" x14ac:dyDescent="0.2">
      <c r="A714">
        <f>'Shipment Data for Provisioning'!B719</f>
        <v>0</v>
      </c>
      <c r="B714">
        <f>'Shipment Data for Provisioning'!C719</f>
        <v>0</v>
      </c>
      <c r="C714">
        <f>'Shipment Data for Provisioning'!D719</f>
        <v>0</v>
      </c>
      <c r="D714">
        <f>'Shipment Data for Provisioning'!E719</f>
        <v>0</v>
      </c>
      <c r="E714">
        <f>'Shipment Data for Provisioning'!F719</f>
        <v>0</v>
      </c>
      <c r="F714">
        <f>'Shipment Data for Provisioning'!G719</f>
        <v>0</v>
      </c>
      <c r="G714">
        <f>'Shipment Data for Provisioning'!H719</f>
        <v>0</v>
      </c>
      <c r="H714">
        <f>'Shipment Data for Provisioning'!I719</f>
        <v>0</v>
      </c>
      <c r="I714" t="e">
        <f>VLOOKUP(B714,'Location Data'!$C$5:$G$1004,4,FALSE)</f>
        <v>#N/A</v>
      </c>
      <c r="J714" t="e">
        <f>VLOOKUP(B714,'Location Data'!$C$5:$G$1004,5,FALSE)</f>
        <v>#N/A</v>
      </c>
      <c r="K714" t="e">
        <f>VLOOKUP(C714,'Location Data'!$C$5:$G$1004,4,FALSE)</f>
        <v>#N/A</v>
      </c>
      <c r="L714" t="e">
        <f>VLOOKUP(C714,'Location Data'!$C$5:$G$1004,5,FALSE)</f>
        <v>#N/A</v>
      </c>
    </row>
    <row r="715" spans="1:12" x14ac:dyDescent="0.2">
      <c r="A715">
        <f>'Shipment Data for Provisioning'!B720</f>
        <v>0</v>
      </c>
      <c r="B715">
        <f>'Shipment Data for Provisioning'!C720</f>
        <v>0</v>
      </c>
      <c r="C715">
        <f>'Shipment Data for Provisioning'!D720</f>
        <v>0</v>
      </c>
      <c r="D715">
        <f>'Shipment Data for Provisioning'!E720</f>
        <v>0</v>
      </c>
      <c r="E715">
        <f>'Shipment Data for Provisioning'!F720</f>
        <v>0</v>
      </c>
      <c r="F715">
        <f>'Shipment Data for Provisioning'!G720</f>
        <v>0</v>
      </c>
      <c r="G715">
        <f>'Shipment Data for Provisioning'!H720</f>
        <v>0</v>
      </c>
      <c r="H715">
        <f>'Shipment Data for Provisioning'!I720</f>
        <v>0</v>
      </c>
      <c r="I715" t="e">
        <f>VLOOKUP(B715,'Location Data'!$C$5:$G$1004,4,FALSE)</f>
        <v>#N/A</v>
      </c>
      <c r="J715" t="e">
        <f>VLOOKUP(B715,'Location Data'!$C$5:$G$1004,5,FALSE)</f>
        <v>#N/A</v>
      </c>
      <c r="K715" t="e">
        <f>VLOOKUP(C715,'Location Data'!$C$5:$G$1004,4,FALSE)</f>
        <v>#N/A</v>
      </c>
      <c r="L715" t="e">
        <f>VLOOKUP(C715,'Location Data'!$C$5:$G$1004,5,FALSE)</f>
        <v>#N/A</v>
      </c>
    </row>
    <row r="716" spans="1:12" x14ac:dyDescent="0.2">
      <c r="A716">
        <f>'Shipment Data for Provisioning'!B721</f>
        <v>0</v>
      </c>
      <c r="B716">
        <f>'Shipment Data for Provisioning'!C721</f>
        <v>0</v>
      </c>
      <c r="C716">
        <f>'Shipment Data for Provisioning'!D721</f>
        <v>0</v>
      </c>
      <c r="D716">
        <f>'Shipment Data for Provisioning'!E721</f>
        <v>0</v>
      </c>
      <c r="E716">
        <f>'Shipment Data for Provisioning'!F721</f>
        <v>0</v>
      </c>
      <c r="F716">
        <f>'Shipment Data for Provisioning'!G721</f>
        <v>0</v>
      </c>
      <c r="G716">
        <f>'Shipment Data for Provisioning'!H721</f>
        <v>0</v>
      </c>
      <c r="H716">
        <f>'Shipment Data for Provisioning'!I721</f>
        <v>0</v>
      </c>
      <c r="I716" t="e">
        <f>VLOOKUP(B716,'Location Data'!$C$5:$G$1004,4,FALSE)</f>
        <v>#N/A</v>
      </c>
      <c r="J716" t="e">
        <f>VLOOKUP(B716,'Location Data'!$C$5:$G$1004,5,FALSE)</f>
        <v>#N/A</v>
      </c>
      <c r="K716" t="e">
        <f>VLOOKUP(C716,'Location Data'!$C$5:$G$1004,4,FALSE)</f>
        <v>#N/A</v>
      </c>
      <c r="L716" t="e">
        <f>VLOOKUP(C716,'Location Data'!$C$5:$G$1004,5,FALSE)</f>
        <v>#N/A</v>
      </c>
    </row>
    <row r="717" spans="1:12" x14ac:dyDescent="0.2">
      <c r="A717">
        <f>'Shipment Data for Provisioning'!B722</f>
        <v>0</v>
      </c>
      <c r="B717">
        <f>'Shipment Data for Provisioning'!C722</f>
        <v>0</v>
      </c>
      <c r="C717">
        <f>'Shipment Data for Provisioning'!D722</f>
        <v>0</v>
      </c>
      <c r="D717">
        <f>'Shipment Data for Provisioning'!E722</f>
        <v>0</v>
      </c>
      <c r="E717">
        <f>'Shipment Data for Provisioning'!F722</f>
        <v>0</v>
      </c>
      <c r="F717">
        <f>'Shipment Data for Provisioning'!G722</f>
        <v>0</v>
      </c>
      <c r="G717">
        <f>'Shipment Data for Provisioning'!H722</f>
        <v>0</v>
      </c>
      <c r="H717">
        <f>'Shipment Data for Provisioning'!I722</f>
        <v>0</v>
      </c>
      <c r="I717" t="e">
        <f>VLOOKUP(B717,'Location Data'!$C$5:$G$1004,4,FALSE)</f>
        <v>#N/A</v>
      </c>
      <c r="J717" t="e">
        <f>VLOOKUP(B717,'Location Data'!$C$5:$G$1004,5,FALSE)</f>
        <v>#N/A</v>
      </c>
      <c r="K717" t="e">
        <f>VLOOKUP(C717,'Location Data'!$C$5:$G$1004,4,FALSE)</f>
        <v>#N/A</v>
      </c>
      <c r="L717" t="e">
        <f>VLOOKUP(C717,'Location Data'!$C$5:$G$1004,5,FALSE)</f>
        <v>#N/A</v>
      </c>
    </row>
    <row r="718" spans="1:12" x14ac:dyDescent="0.2">
      <c r="A718">
        <f>'Shipment Data for Provisioning'!B723</f>
        <v>0</v>
      </c>
      <c r="B718">
        <f>'Shipment Data for Provisioning'!C723</f>
        <v>0</v>
      </c>
      <c r="C718">
        <f>'Shipment Data for Provisioning'!D723</f>
        <v>0</v>
      </c>
      <c r="D718">
        <f>'Shipment Data for Provisioning'!E723</f>
        <v>0</v>
      </c>
      <c r="E718">
        <f>'Shipment Data for Provisioning'!F723</f>
        <v>0</v>
      </c>
      <c r="F718">
        <f>'Shipment Data for Provisioning'!G723</f>
        <v>0</v>
      </c>
      <c r="G718">
        <f>'Shipment Data for Provisioning'!H723</f>
        <v>0</v>
      </c>
      <c r="H718">
        <f>'Shipment Data for Provisioning'!I723</f>
        <v>0</v>
      </c>
      <c r="I718" t="e">
        <f>VLOOKUP(B718,'Location Data'!$C$5:$G$1004,4,FALSE)</f>
        <v>#N/A</v>
      </c>
      <c r="J718" t="e">
        <f>VLOOKUP(B718,'Location Data'!$C$5:$G$1004,5,FALSE)</f>
        <v>#N/A</v>
      </c>
      <c r="K718" t="e">
        <f>VLOOKUP(C718,'Location Data'!$C$5:$G$1004,4,FALSE)</f>
        <v>#N/A</v>
      </c>
      <c r="L718" t="e">
        <f>VLOOKUP(C718,'Location Data'!$C$5:$G$1004,5,FALSE)</f>
        <v>#N/A</v>
      </c>
    </row>
    <row r="719" spans="1:12" x14ac:dyDescent="0.2">
      <c r="A719">
        <f>'Shipment Data for Provisioning'!B724</f>
        <v>0</v>
      </c>
      <c r="B719">
        <f>'Shipment Data for Provisioning'!C724</f>
        <v>0</v>
      </c>
      <c r="C719">
        <f>'Shipment Data for Provisioning'!D724</f>
        <v>0</v>
      </c>
      <c r="D719">
        <f>'Shipment Data for Provisioning'!E724</f>
        <v>0</v>
      </c>
      <c r="E719">
        <f>'Shipment Data for Provisioning'!F724</f>
        <v>0</v>
      </c>
      <c r="F719">
        <f>'Shipment Data for Provisioning'!G724</f>
        <v>0</v>
      </c>
      <c r="G719">
        <f>'Shipment Data for Provisioning'!H724</f>
        <v>0</v>
      </c>
      <c r="H719">
        <f>'Shipment Data for Provisioning'!I724</f>
        <v>0</v>
      </c>
      <c r="I719" t="e">
        <f>VLOOKUP(B719,'Location Data'!$C$5:$G$1004,4,FALSE)</f>
        <v>#N/A</v>
      </c>
      <c r="J719" t="e">
        <f>VLOOKUP(B719,'Location Data'!$C$5:$G$1004,5,FALSE)</f>
        <v>#N/A</v>
      </c>
      <c r="K719" t="e">
        <f>VLOOKUP(C719,'Location Data'!$C$5:$G$1004,4,FALSE)</f>
        <v>#N/A</v>
      </c>
      <c r="L719" t="e">
        <f>VLOOKUP(C719,'Location Data'!$C$5:$G$1004,5,FALSE)</f>
        <v>#N/A</v>
      </c>
    </row>
    <row r="720" spans="1:12" x14ac:dyDescent="0.2">
      <c r="A720">
        <f>'Shipment Data for Provisioning'!B725</f>
        <v>0</v>
      </c>
      <c r="B720">
        <f>'Shipment Data for Provisioning'!C725</f>
        <v>0</v>
      </c>
      <c r="C720">
        <f>'Shipment Data for Provisioning'!D725</f>
        <v>0</v>
      </c>
      <c r="D720">
        <f>'Shipment Data for Provisioning'!E725</f>
        <v>0</v>
      </c>
      <c r="E720">
        <f>'Shipment Data for Provisioning'!F725</f>
        <v>0</v>
      </c>
      <c r="F720">
        <f>'Shipment Data for Provisioning'!G725</f>
        <v>0</v>
      </c>
      <c r="G720">
        <f>'Shipment Data for Provisioning'!H725</f>
        <v>0</v>
      </c>
      <c r="H720">
        <f>'Shipment Data for Provisioning'!I725</f>
        <v>0</v>
      </c>
      <c r="I720" t="e">
        <f>VLOOKUP(B720,'Location Data'!$C$5:$G$1004,4,FALSE)</f>
        <v>#N/A</v>
      </c>
      <c r="J720" t="e">
        <f>VLOOKUP(B720,'Location Data'!$C$5:$G$1004,5,FALSE)</f>
        <v>#N/A</v>
      </c>
      <c r="K720" t="e">
        <f>VLOOKUP(C720,'Location Data'!$C$5:$G$1004,4,FALSE)</f>
        <v>#N/A</v>
      </c>
      <c r="L720" t="e">
        <f>VLOOKUP(C720,'Location Data'!$C$5:$G$1004,5,FALSE)</f>
        <v>#N/A</v>
      </c>
    </row>
    <row r="721" spans="1:12" x14ac:dyDescent="0.2">
      <c r="A721">
        <f>'Shipment Data for Provisioning'!B726</f>
        <v>0</v>
      </c>
      <c r="B721">
        <f>'Shipment Data for Provisioning'!C726</f>
        <v>0</v>
      </c>
      <c r="C721">
        <f>'Shipment Data for Provisioning'!D726</f>
        <v>0</v>
      </c>
      <c r="D721">
        <f>'Shipment Data for Provisioning'!E726</f>
        <v>0</v>
      </c>
      <c r="E721">
        <f>'Shipment Data for Provisioning'!F726</f>
        <v>0</v>
      </c>
      <c r="F721">
        <f>'Shipment Data for Provisioning'!G726</f>
        <v>0</v>
      </c>
      <c r="G721">
        <f>'Shipment Data for Provisioning'!H726</f>
        <v>0</v>
      </c>
      <c r="H721">
        <f>'Shipment Data for Provisioning'!I726</f>
        <v>0</v>
      </c>
      <c r="I721" t="e">
        <f>VLOOKUP(B721,'Location Data'!$C$5:$G$1004,4,FALSE)</f>
        <v>#N/A</v>
      </c>
      <c r="J721" t="e">
        <f>VLOOKUP(B721,'Location Data'!$C$5:$G$1004,5,FALSE)</f>
        <v>#N/A</v>
      </c>
      <c r="K721" t="e">
        <f>VLOOKUP(C721,'Location Data'!$C$5:$G$1004,4,FALSE)</f>
        <v>#N/A</v>
      </c>
      <c r="L721" t="e">
        <f>VLOOKUP(C721,'Location Data'!$C$5:$G$1004,5,FALSE)</f>
        <v>#N/A</v>
      </c>
    </row>
    <row r="722" spans="1:12" x14ac:dyDescent="0.2">
      <c r="A722">
        <f>'Shipment Data for Provisioning'!B727</f>
        <v>0</v>
      </c>
      <c r="B722">
        <f>'Shipment Data for Provisioning'!C727</f>
        <v>0</v>
      </c>
      <c r="C722">
        <f>'Shipment Data for Provisioning'!D727</f>
        <v>0</v>
      </c>
      <c r="D722">
        <f>'Shipment Data for Provisioning'!E727</f>
        <v>0</v>
      </c>
      <c r="E722">
        <f>'Shipment Data for Provisioning'!F727</f>
        <v>0</v>
      </c>
      <c r="F722">
        <f>'Shipment Data for Provisioning'!G727</f>
        <v>0</v>
      </c>
      <c r="G722">
        <f>'Shipment Data for Provisioning'!H727</f>
        <v>0</v>
      </c>
      <c r="H722">
        <f>'Shipment Data for Provisioning'!I727</f>
        <v>0</v>
      </c>
      <c r="I722" t="e">
        <f>VLOOKUP(B722,'Location Data'!$C$5:$G$1004,4,FALSE)</f>
        <v>#N/A</v>
      </c>
      <c r="J722" t="e">
        <f>VLOOKUP(B722,'Location Data'!$C$5:$G$1004,5,FALSE)</f>
        <v>#N/A</v>
      </c>
      <c r="K722" t="e">
        <f>VLOOKUP(C722,'Location Data'!$C$5:$G$1004,4,FALSE)</f>
        <v>#N/A</v>
      </c>
      <c r="L722" t="e">
        <f>VLOOKUP(C722,'Location Data'!$C$5:$G$1004,5,FALSE)</f>
        <v>#N/A</v>
      </c>
    </row>
    <row r="723" spans="1:12" x14ac:dyDescent="0.2">
      <c r="A723">
        <f>'Shipment Data for Provisioning'!B728</f>
        <v>0</v>
      </c>
      <c r="B723">
        <f>'Shipment Data for Provisioning'!C728</f>
        <v>0</v>
      </c>
      <c r="C723">
        <f>'Shipment Data for Provisioning'!D728</f>
        <v>0</v>
      </c>
      <c r="D723">
        <f>'Shipment Data for Provisioning'!E728</f>
        <v>0</v>
      </c>
      <c r="E723">
        <f>'Shipment Data for Provisioning'!F728</f>
        <v>0</v>
      </c>
      <c r="F723">
        <f>'Shipment Data for Provisioning'!G728</f>
        <v>0</v>
      </c>
      <c r="G723">
        <f>'Shipment Data for Provisioning'!H728</f>
        <v>0</v>
      </c>
      <c r="H723">
        <f>'Shipment Data for Provisioning'!I728</f>
        <v>0</v>
      </c>
      <c r="I723" t="e">
        <f>VLOOKUP(B723,'Location Data'!$C$5:$G$1004,4,FALSE)</f>
        <v>#N/A</v>
      </c>
      <c r="J723" t="e">
        <f>VLOOKUP(B723,'Location Data'!$C$5:$G$1004,5,FALSE)</f>
        <v>#N/A</v>
      </c>
      <c r="K723" t="e">
        <f>VLOOKUP(C723,'Location Data'!$C$5:$G$1004,4,FALSE)</f>
        <v>#N/A</v>
      </c>
      <c r="L723" t="e">
        <f>VLOOKUP(C723,'Location Data'!$C$5:$G$1004,5,FALSE)</f>
        <v>#N/A</v>
      </c>
    </row>
    <row r="724" spans="1:12" x14ac:dyDescent="0.2">
      <c r="A724">
        <f>'Shipment Data for Provisioning'!B729</f>
        <v>0</v>
      </c>
      <c r="B724">
        <f>'Shipment Data for Provisioning'!C729</f>
        <v>0</v>
      </c>
      <c r="C724">
        <f>'Shipment Data for Provisioning'!D729</f>
        <v>0</v>
      </c>
      <c r="D724">
        <f>'Shipment Data for Provisioning'!E729</f>
        <v>0</v>
      </c>
      <c r="E724">
        <f>'Shipment Data for Provisioning'!F729</f>
        <v>0</v>
      </c>
      <c r="F724">
        <f>'Shipment Data for Provisioning'!G729</f>
        <v>0</v>
      </c>
      <c r="G724">
        <f>'Shipment Data for Provisioning'!H729</f>
        <v>0</v>
      </c>
      <c r="H724">
        <f>'Shipment Data for Provisioning'!I729</f>
        <v>0</v>
      </c>
      <c r="I724" t="e">
        <f>VLOOKUP(B724,'Location Data'!$C$5:$G$1004,4,FALSE)</f>
        <v>#N/A</v>
      </c>
      <c r="J724" t="e">
        <f>VLOOKUP(B724,'Location Data'!$C$5:$G$1004,5,FALSE)</f>
        <v>#N/A</v>
      </c>
      <c r="K724" t="e">
        <f>VLOOKUP(C724,'Location Data'!$C$5:$G$1004,4,FALSE)</f>
        <v>#N/A</v>
      </c>
      <c r="L724" t="e">
        <f>VLOOKUP(C724,'Location Data'!$C$5:$G$1004,5,FALSE)</f>
        <v>#N/A</v>
      </c>
    </row>
    <row r="725" spans="1:12" x14ac:dyDescent="0.2">
      <c r="A725">
        <f>'Shipment Data for Provisioning'!B730</f>
        <v>0</v>
      </c>
      <c r="B725">
        <f>'Shipment Data for Provisioning'!C730</f>
        <v>0</v>
      </c>
      <c r="C725">
        <f>'Shipment Data for Provisioning'!D730</f>
        <v>0</v>
      </c>
      <c r="D725">
        <f>'Shipment Data for Provisioning'!E730</f>
        <v>0</v>
      </c>
      <c r="E725">
        <f>'Shipment Data for Provisioning'!F730</f>
        <v>0</v>
      </c>
      <c r="F725">
        <f>'Shipment Data for Provisioning'!G730</f>
        <v>0</v>
      </c>
      <c r="G725">
        <f>'Shipment Data for Provisioning'!H730</f>
        <v>0</v>
      </c>
      <c r="H725">
        <f>'Shipment Data for Provisioning'!I730</f>
        <v>0</v>
      </c>
      <c r="I725" t="e">
        <f>VLOOKUP(B725,'Location Data'!$C$5:$G$1004,4,FALSE)</f>
        <v>#N/A</v>
      </c>
      <c r="J725" t="e">
        <f>VLOOKUP(B725,'Location Data'!$C$5:$G$1004,5,FALSE)</f>
        <v>#N/A</v>
      </c>
      <c r="K725" t="e">
        <f>VLOOKUP(C725,'Location Data'!$C$5:$G$1004,4,FALSE)</f>
        <v>#N/A</v>
      </c>
      <c r="L725" t="e">
        <f>VLOOKUP(C725,'Location Data'!$C$5:$G$1004,5,FALSE)</f>
        <v>#N/A</v>
      </c>
    </row>
    <row r="726" spans="1:12" x14ac:dyDescent="0.2">
      <c r="A726">
        <f>'Shipment Data for Provisioning'!B731</f>
        <v>0</v>
      </c>
      <c r="B726">
        <f>'Shipment Data for Provisioning'!C731</f>
        <v>0</v>
      </c>
      <c r="C726">
        <f>'Shipment Data for Provisioning'!D731</f>
        <v>0</v>
      </c>
      <c r="D726">
        <f>'Shipment Data for Provisioning'!E731</f>
        <v>0</v>
      </c>
      <c r="E726">
        <f>'Shipment Data for Provisioning'!F731</f>
        <v>0</v>
      </c>
      <c r="F726">
        <f>'Shipment Data for Provisioning'!G731</f>
        <v>0</v>
      </c>
      <c r="G726">
        <f>'Shipment Data for Provisioning'!H731</f>
        <v>0</v>
      </c>
      <c r="H726">
        <f>'Shipment Data for Provisioning'!I731</f>
        <v>0</v>
      </c>
      <c r="I726" t="e">
        <f>VLOOKUP(B726,'Location Data'!$C$5:$G$1004,4,FALSE)</f>
        <v>#N/A</v>
      </c>
      <c r="J726" t="e">
        <f>VLOOKUP(B726,'Location Data'!$C$5:$G$1004,5,FALSE)</f>
        <v>#N/A</v>
      </c>
      <c r="K726" t="e">
        <f>VLOOKUP(C726,'Location Data'!$C$5:$G$1004,4,FALSE)</f>
        <v>#N/A</v>
      </c>
      <c r="L726" t="e">
        <f>VLOOKUP(C726,'Location Data'!$C$5:$G$1004,5,FALSE)</f>
        <v>#N/A</v>
      </c>
    </row>
    <row r="727" spans="1:12" x14ac:dyDescent="0.2">
      <c r="A727">
        <f>'Shipment Data for Provisioning'!B732</f>
        <v>0</v>
      </c>
      <c r="B727">
        <f>'Shipment Data for Provisioning'!C732</f>
        <v>0</v>
      </c>
      <c r="C727">
        <f>'Shipment Data for Provisioning'!D732</f>
        <v>0</v>
      </c>
      <c r="D727">
        <f>'Shipment Data for Provisioning'!E732</f>
        <v>0</v>
      </c>
      <c r="E727">
        <f>'Shipment Data for Provisioning'!F732</f>
        <v>0</v>
      </c>
      <c r="F727">
        <f>'Shipment Data for Provisioning'!G732</f>
        <v>0</v>
      </c>
      <c r="G727">
        <f>'Shipment Data for Provisioning'!H732</f>
        <v>0</v>
      </c>
      <c r="H727">
        <f>'Shipment Data for Provisioning'!I732</f>
        <v>0</v>
      </c>
      <c r="I727" t="e">
        <f>VLOOKUP(B727,'Location Data'!$C$5:$G$1004,4,FALSE)</f>
        <v>#N/A</v>
      </c>
      <c r="J727" t="e">
        <f>VLOOKUP(B727,'Location Data'!$C$5:$G$1004,5,FALSE)</f>
        <v>#N/A</v>
      </c>
      <c r="K727" t="e">
        <f>VLOOKUP(C727,'Location Data'!$C$5:$G$1004,4,FALSE)</f>
        <v>#N/A</v>
      </c>
      <c r="L727" t="e">
        <f>VLOOKUP(C727,'Location Data'!$C$5:$G$1004,5,FALSE)</f>
        <v>#N/A</v>
      </c>
    </row>
    <row r="728" spans="1:12" x14ac:dyDescent="0.2">
      <c r="A728">
        <f>'Shipment Data for Provisioning'!B733</f>
        <v>0</v>
      </c>
      <c r="B728">
        <f>'Shipment Data for Provisioning'!C733</f>
        <v>0</v>
      </c>
      <c r="C728">
        <f>'Shipment Data for Provisioning'!D733</f>
        <v>0</v>
      </c>
      <c r="D728">
        <f>'Shipment Data for Provisioning'!E733</f>
        <v>0</v>
      </c>
      <c r="E728">
        <f>'Shipment Data for Provisioning'!F733</f>
        <v>0</v>
      </c>
      <c r="F728">
        <f>'Shipment Data for Provisioning'!G733</f>
        <v>0</v>
      </c>
      <c r="G728">
        <f>'Shipment Data for Provisioning'!H733</f>
        <v>0</v>
      </c>
      <c r="H728">
        <f>'Shipment Data for Provisioning'!I733</f>
        <v>0</v>
      </c>
      <c r="I728" t="e">
        <f>VLOOKUP(B728,'Location Data'!$C$5:$G$1004,4,FALSE)</f>
        <v>#N/A</v>
      </c>
      <c r="J728" t="e">
        <f>VLOOKUP(B728,'Location Data'!$C$5:$G$1004,5,FALSE)</f>
        <v>#N/A</v>
      </c>
      <c r="K728" t="e">
        <f>VLOOKUP(C728,'Location Data'!$C$5:$G$1004,4,FALSE)</f>
        <v>#N/A</v>
      </c>
      <c r="L728" t="e">
        <f>VLOOKUP(C728,'Location Data'!$C$5:$G$1004,5,FALSE)</f>
        <v>#N/A</v>
      </c>
    </row>
    <row r="729" spans="1:12" x14ac:dyDescent="0.2">
      <c r="A729">
        <f>'Shipment Data for Provisioning'!B734</f>
        <v>0</v>
      </c>
      <c r="B729">
        <f>'Shipment Data for Provisioning'!C734</f>
        <v>0</v>
      </c>
      <c r="C729">
        <f>'Shipment Data for Provisioning'!D734</f>
        <v>0</v>
      </c>
      <c r="D729">
        <f>'Shipment Data for Provisioning'!E734</f>
        <v>0</v>
      </c>
      <c r="E729">
        <f>'Shipment Data for Provisioning'!F734</f>
        <v>0</v>
      </c>
      <c r="F729">
        <f>'Shipment Data for Provisioning'!G734</f>
        <v>0</v>
      </c>
      <c r="G729">
        <f>'Shipment Data for Provisioning'!H734</f>
        <v>0</v>
      </c>
      <c r="H729">
        <f>'Shipment Data for Provisioning'!I734</f>
        <v>0</v>
      </c>
      <c r="I729" t="e">
        <f>VLOOKUP(B729,'Location Data'!$C$5:$G$1004,4,FALSE)</f>
        <v>#N/A</v>
      </c>
      <c r="J729" t="e">
        <f>VLOOKUP(B729,'Location Data'!$C$5:$G$1004,5,FALSE)</f>
        <v>#N/A</v>
      </c>
      <c r="K729" t="e">
        <f>VLOOKUP(C729,'Location Data'!$C$5:$G$1004,4,FALSE)</f>
        <v>#N/A</v>
      </c>
      <c r="L729" t="e">
        <f>VLOOKUP(C729,'Location Data'!$C$5:$G$1004,5,FALSE)</f>
        <v>#N/A</v>
      </c>
    </row>
    <row r="730" spans="1:12" x14ac:dyDescent="0.2">
      <c r="A730">
        <f>'Shipment Data for Provisioning'!B735</f>
        <v>0</v>
      </c>
      <c r="B730">
        <f>'Shipment Data for Provisioning'!C735</f>
        <v>0</v>
      </c>
      <c r="C730">
        <f>'Shipment Data for Provisioning'!D735</f>
        <v>0</v>
      </c>
      <c r="D730">
        <f>'Shipment Data for Provisioning'!E735</f>
        <v>0</v>
      </c>
      <c r="E730">
        <f>'Shipment Data for Provisioning'!F735</f>
        <v>0</v>
      </c>
      <c r="F730">
        <f>'Shipment Data for Provisioning'!G735</f>
        <v>0</v>
      </c>
      <c r="G730">
        <f>'Shipment Data for Provisioning'!H735</f>
        <v>0</v>
      </c>
      <c r="H730">
        <f>'Shipment Data for Provisioning'!I735</f>
        <v>0</v>
      </c>
      <c r="I730" t="e">
        <f>VLOOKUP(B730,'Location Data'!$C$5:$G$1004,4,FALSE)</f>
        <v>#N/A</v>
      </c>
      <c r="J730" t="e">
        <f>VLOOKUP(B730,'Location Data'!$C$5:$G$1004,5,FALSE)</f>
        <v>#N/A</v>
      </c>
      <c r="K730" t="e">
        <f>VLOOKUP(C730,'Location Data'!$C$5:$G$1004,4,FALSE)</f>
        <v>#N/A</v>
      </c>
      <c r="L730" t="e">
        <f>VLOOKUP(C730,'Location Data'!$C$5:$G$1004,5,FALSE)</f>
        <v>#N/A</v>
      </c>
    </row>
    <row r="731" spans="1:12" x14ac:dyDescent="0.2">
      <c r="A731">
        <f>'Shipment Data for Provisioning'!B736</f>
        <v>0</v>
      </c>
      <c r="B731">
        <f>'Shipment Data for Provisioning'!C736</f>
        <v>0</v>
      </c>
      <c r="C731">
        <f>'Shipment Data for Provisioning'!D736</f>
        <v>0</v>
      </c>
      <c r="D731">
        <f>'Shipment Data for Provisioning'!E736</f>
        <v>0</v>
      </c>
      <c r="E731">
        <f>'Shipment Data for Provisioning'!F736</f>
        <v>0</v>
      </c>
      <c r="F731">
        <f>'Shipment Data for Provisioning'!G736</f>
        <v>0</v>
      </c>
      <c r="G731">
        <f>'Shipment Data for Provisioning'!H736</f>
        <v>0</v>
      </c>
      <c r="H731">
        <f>'Shipment Data for Provisioning'!I736</f>
        <v>0</v>
      </c>
      <c r="I731" t="e">
        <f>VLOOKUP(B731,'Location Data'!$C$5:$G$1004,4,FALSE)</f>
        <v>#N/A</v>
      </c>
      <c r="J731" t="e">
        <f>VLOOKUP(B731,'Location Data'!$C$5:$G$1004,5,FALSE)</f>
        <v>#N/A</v>
      </c>
      <c r="K731" t="e">
        <f>VLOOKUP(C731,'Location Data'!$C$5:$G$1004,4,FALSE)</f>
        <v>#N/A</v>
      </c>
      <c r="L731" t="e">
        <f>VLOOKUP(C731,'Location Data'!$C$5:$G$1004,5,FALSE)</f>
        <v>#N/A</v>
      </c>
    </row>
    <row r="732" spans="1:12" x14ac:dyDescent="0.2">
      <c r="A732">
        <f>'Shipment Data for Provisioning'!B737</f>
        <v>0</v>
      </c>
      <c r="B732">
        <f>'Shipment Data for Provisioning'!C737</f>
        <v>0</v>
      </c>
      <c r="C732">
        <f>'Shipment Data for Provisioning'!D737</f>
        <v>0</v>
      </c>
      <c r="D732">
        <f>'Shipment Data for Provisioning'!E737</f>
        <v>0</v>
      </c>
      <c r="E732">
        <f>'Shipment Data for Provisioning'!F737</f>
        <v>0</v>
      </c>
      <c r="F732">
        <f>'Shipment Data for Provisioning'!G737</f>
        <v>0</v>
      </c>
      <c r="G732">
        <f>'Shipment Data for Provisioning'!H737</f>
        <v>0</v>
      </c>
      <c r="H732">
        <f>'Shipment Data for Provisioning'!I737</f>
        <v>0</v>
      </c>
      <c r="I732" t="e">
        <f>VLOOKUP(B732,'Location Data'!$C$5:$G$1004,4,FALSE)</f>
        <v>#N/A</v>
      </c>
      <c r="J732" t="e">
        <f>VLOOKUP(B732,'Location Data'!$C$5:$G$1004,5,FALSE)</f>
        <v>#N/A</v>
      </c>
      <c r="K732" t="e">
        <f>VLOOKUP(C732,'Location Data'!$C$5:$G$1004,4,FALSE)</f>
        <v>#N/A</v>
      </c>
      <c r="L732" t="e">
        <f>VLOOKUP(C732,'Location Data'!$C$5:$G$1004,5,FALSE)</f>
        <v>#N/A</v>
      </c>
    </row>
    <row r="733" spans="1:12" x14ac:dyDescent="0.2">
      <c r="A733">
        <f>'Shipment Data for Provisioning'!B738</f>
        <v>0</v>
      </c>
      <c r="B733">
        <f>'Shipment Data for Provisioning'!C738</f>
        <v>0</v>
      </c>
      <c r="C733">
        <f>'Shipment Data for Provisioning'!D738</f>
        <v>0</v>
      </c>
      <c r="D733">
        <f>'Shipment Data for Provisioning'!E738</f>
        <v>0</v>
      </c>
      <c r="E733">
        <f>'Shipment Data for Provisioning'!F738</f>
        <v>0</v>
      </c>
      <c r="F733">
        <f>'Shipment Data for Provisioning'!G738</f>
        <v>0</v>
      </c>
      <c r="G733">
        <f>'Shipment Data for Provisioning'!H738</f>
        <v>0</v>
      </c>
      <c r="H733">
        <f>'Shipment Data for Provisioning'!I738</f>
        <v>0</v>
      </c>
      <c r="I733" t="e">
        <f>VLOOKUP(B733,'Location Data'!$C$5:$G$1004,4,FALSE)</f>
        <v>#N/A</v>
      </c>
      <c r="J733" t="e">
        <f>VLOOKUP(B733,'Location Data'!$C$5:$G$1004,5,FALSE)</f>
        <v>#N/A</v>
      </c>
      <c r="K733" t="e">
        <f>VLOOKUP(C733,'Location Data'!$C$5:$G$1004,4,FALSE)</f>
        <v>#N/A</v>
      </c>
      <c r="L733" t="e">
        <f>VLOOKUP(C733,'Location Data'!$C$5:$G$1004,5,FALSE)</f>
        <v>#N/A</v>
      </c>
    </row>
    <row r="734" spans="1:12" x14ac:dyDescent="0.2">
      <c r="A734">
        <f>'Shipment Data for Provisioning'!B739</f>
        <v>0</v>
      </c>
      <c r="B734">
        <f>'Shipment Data for Provisioning'!C739</f>
        <v>0</v>
      </c>
      <c r="C734">
        <f>'Shipment Data for Provisioning'!D739</f>
        <v>0</v>
      </c>
      <c r="D734">
        <f>'Shipment Data for Provisioning'!E739</f>
        <v>0</v>
      </c>
      <c r="E734">
        <f>'Shipment Data for Provisioning'!F739</f>
        <v>0</v>
      </c>
      <c r="F734">
        <f>'Shipment Data for Provisioning'!G739</f>
        <v>0</v>
      </c>
      <c r="G734">
        <f>'Shipment Data for Provisioning'!H739</f>
        <v>0</v>
      </c>
      <c r="H734">
        <f>'Shipment Data for Provisioning'!I739</f>
        <v>0</v>
      </c>
      <c r="I734" t="e">
        <f>VLOOKUP(B734,'Location Data'!$C$5:$G$1004,4,FALSE)</f>
        <v>#N/A</v>
      </c>
      <c r="J734" t="e">
        <f>VLOOKUP(B734,'Location Data'!$C$5:$G$1004,5,FALSE)</f>
        <v>#N/A</v>
      </c>
      <c r="K734" t="e">
        <f>VLOOKUP(C734,'Location Data'!$C$5:$G$1004,4,FALSE)</f>
        <v>#N/A</v>
      </c>
      <c r="L734" t="e">
        <f>VLOOKUP(C734,'Location Data'!$C$5:$G$1004,5,FALSE)</f>
        <v>#N/A</v>
      </c>
    </row>
    <row r="735" spans="1:12" x14ac:dyDescent="0.2">
      <c r="A735">
        <f>'Shipment Data for Provisioning'!B740</f>
        <v>0</v>
      </c>
      <c r="B735">
        <f>'Shipment Data for Provisioning'!C740</f>
        <v>0</v>
      </c>
      <c r="C735">
        <f>'Shipment Data for Provisioning'!D740</f>
        <v>0</v>
      </c>
      <c r="D735">
        <f>'Shipment Data for Provisioning'!E740</f>
        <v>0</v>
      </c>
      <c r="E735">
        <f>'Shipment Data for Provisioning'!F740</f>
        <v>0</v>
      </c>
      <c r="F735">
        <f>'Shipment Data for Provisioning'!G740</f>
        <v>0</v>
      </c>
      <c r="G735">
        <f>'Shipment Data for Provisioning'!H740</f>
        <v>0</v>
      </c>
      <c r="H735">
        <f>'Shipment Data for Provisioning'!I740</f>
        <v>0</v>
      </c>
      <c r="I735" t="e">
        <f>VLOOKUP(B735,'Location Data'!$C$5:$G$1004,4,FALSE)</f>
        <v>#N/A</v>
      </c>
      <c r="J735" t="e">
        <f>VLOOKUP(B735,'Location Data'!$C$5:$G$1004,5,FALSE)</f>
        <v>#N/A</v>
      </c>
      <c r="K735" t="e">
        <f>VLOOKUP(C735,'Location Data'!$C$5:$G$1004,4,FALSE)</f>
        <v>#N/A</v>
      </c>
      <c r="L735" t="e">
        <f>VLOOKUP(C735,'Location Data'!$C$5:$G$1004,5,FALSE)</f>
        <v>#N/A</v>
      </c>
    </row>
    <row r="736" spans="1:12" x14ac:dyDescent="0.2">
      <c r="A736">
        <f>'Shipment Data for Provisioning'!B741</f>
        <v>0</v>
      </c>
      <c r="B736">
        <f>'Shipment Data for Provisioning'!C741</f>
        <v>0</v>
      </c>
      <c r="C736">
        <f>'Shipment Data for Provisioning'!D741</f>
        <v>0</v>
      </c>
      <c r="D736">
        <f>'Shipment Data for Provisioning'!E741</f>
        <v>0</v>
      </c>
      <c r="E736">
        <f>'Shipment Data for Provisioning'!F741</f>
        <v>0</v>
      </c>
      <c r="F736">
        <f>'Shipment Data for Provisioning'!G741</f>
        <v>0</v>
      </c>
      <c r="G736">
        <f>'Shipment Data for Provisioning'!H741</f>
        <v>0</v>
      </c>
      <c r="H736">
        <f>'Shipment Data for Provisioning'!I741</f>
        <v>0</v>
      </c>
      <c r="I736" t="e">
        <f>VLOOKUP(B736,'Location Data'!$C$5:$G$1004,4,FALSE)</f>
        <v>#N/A</v>
      </c>
      <c r="J736" t="e">
        <f>VLOOKUP(B736,'Location Data'!$C$5:$G$1004,5,FALSE)</f>
        <v>#N/A</v>
      </c>
      <c r="K736" t="e">
        <f>VLOOKUP(C736,'Location Data'!$C$5:$G$1004,4,FALSE)</f>
        <v>#N/A</v>
      </c>
      <c r="L736" t="e">
        <f>VLOOKUP(C736,'Location Data'!$C$5:$G$1004,5,FALSE)</f>
        <v>#N/A</v>
      </c>
    </row>
    <row r="737" spans="1:12" x14ac:dyDescent="0.2">
      <c r="A737">
        <f>'Shipment Data for Provisioning'!B742</f>
        <v>0</v>
      </c>
      <c r="B737">
        <f>'Shipment Data for Provisioning'!C742</f>
        <v>0</v>
      </c>
      <c r="C737">
        <f>'Shipment Data for Provisioning'!D742</f>
        <v>0</v>
      </c>
      <c r="D737">
        <f>'Shipment Data for Provisioning'!E742</f>
        <v>0</v>
      </c>
      <c r="E737">
        <f>'Shipment Data for Provisioning'!F742</f>
        <v>0</v>
      </c>
      <c r="F737">
        <f>'Shipment Data for Provisioning'!G742</f>
        <v>0</v>
      </c>
      <c r="G737">
        <f>'Shipment Data for Provisioning'!H742</f>
        <v>0</v>
      </c>
      <c r="H737">
        <f>'Shipment Data for Provisioning'!I742</f>
        <v>0</v>
      </c>
      <c r="I737" t="e">
        <f>VLOOKUP(B737,'Location Data'!$C$5:$G$1004,4,FALSE)</f>
        <v>#N/A</v>
      </c>
      <c r="J737" t="e">
        <f>VLOOKUP(B737,'Location Data'!$C$5:$G$1004,5,FALSE)</f>
        <v>#N/A</v>
      </c>
      <c r="K737" t="e">
        <f>VLOOKUP(C737,'Location Data'!$C$5:$G$1004,4,FALSE)</f>
        <v>#N/A</v>
      </c>
      <c r="L737" t="e">
        <f>VLOOKUP(C737,'Location Data'!$C$5:$G$1004,5,FALSE)</f>
        <v>#N/A</v>
      </c>
    </row>
    <row r="738" spans="1:12" x14ac:dyDescent="0.2">
      <c r="A738">
        <f>'Shipment Data for Provisioning'!B743</f>
        <v>0</v>
      </c>
      <c r="B738">
        <f>'Shipment Data for Provisioning'!C743</f>
        <v>0</v>
      </c>
      <c r="C738">
        <f>'Shipment Data for Provisioning'!D743</f>
        <v>0</v>
      </c>
      <c r="D738">
        <f>'Shipment Data for Provisioning'!E743</f>
        <v>0</v>
      </c>
      <c r="E738">
        <f>'Shipment Data for Provisioning'!F743</f>
        <v>0</v>
      </c>
      <c r="F738">
        <f>'Shipment Data for Provisioning'!G743</f>
        <v>0</v>
      </c>
      <c r="G738">
        <f>'Shipment Data for Provisioning'!H743</f>
        <v>0</v>
      </c>
      <c r="H738">
        <f>'Shipment Data for Provisioning'!I743</f>
        <v>0</v>
      </c>
      <c r="I738" t="e">
        <f>VLOOKUP(B738,'Location Data'!$C$5:$G$1004,4,FALSE)</f>
        <v>#N/A</v>
      </c>
      <c r="J738" t="e">
        <f>VLOOKUP(B738,'Location Data'!$C$5:$G$1004,5,FALSE)</f>
        <v>#N/A</v>
      </c>
      <c r="K738" t="e">
        <f>VLOOKUP(C738,'Location Data'!$C$5:$G$1004,4,FALSE)</f>
        <v>#N/A</v>
      </c>
      <c r="L738" t="e">
        <f>VLOOKUP(C738,'Location Data'!$C$5:$G$1004,5,FALSE)</f>
        <v>#N/A</v>
      </c>
    </row>
    <row r="739" spans="1:12" x14ac:dyDescent="0.2">
      <c r="A739">
        <f>'Shipment Data for Provisioning'!B744</f>
        <v>0</v>
      </c>
      <c r="B739">
        <f>'Shipment Data for Provisioning'!C744</f>
        <v>0</v>
      </c>
      <c r="C739">
        <f>'Shipment Data for Provisioning'!D744</f>
        <v>0</v>
      </c>
      <c r="D739">
        <f>'Shipment Data for Provisioning'!E744</f>
        <v>0</v>
      </c>
      <c r="E739">
        <f>'Shipment Data for Provisioning'!F744</f>
        <v>0</v>
      </c>
      <c r="F739">
        <f>'Shipment Data for Provisioning'!G744</f>
        <v>0</v>
      </c>
      <c r="G739">
        <f>'Shipment Data for Provisioning'!H744</f>
        <v>0</v>
      </c>
      <c r="H739">
        <f>'Shipment Data for Provisioning'!I744</f>
        <v>0</v>
      </c>
      <c r="I739" t="e">
        <f>VLOOKUP(B739,'Location Data'!$C$5:$G$1004,4,FALSE)</f>
        <v>#N/A</v>
      </c>
      <c r="J739" t="e">
        <f>VLOOKUP(B739,'Location Data'!$C$5:$G$1004,5,FALSE)</f>
        <v>#N/A</v>
      </c>
      <c r="K739" t="e">
        <f>VLOOKUP(C739,'Location Data'!$C$5:$G$1004,4,FALSE)</f>
        <v>#N/A</v>
      </c>
      <c r="L739" t="e">
        <f>VLOOKUP(C739,'Location Data'!$C$5:$G$1004,5,FALSE)</f>
        <v>#N/A</v>
      </c>
    </row>
    <row r="740" spans="1:12" x14ac:dyDescent="0.2">
      <c r="A740">
        <f>'Shipment Data for Provisioning'!B745</f>
        <v>0</v>
      </c>
      <c r="B740">
        <f>'Shipment Data for Provisioning'!C745</f>
        <v>0</v>
      </c>
      <c r="C740">
        <f>'Shipment Data for Provisioning'!D745</f>
        <v>0</v>
      </c>
      <c r="D740">
        <f>'Shipment Data for Provisioning'!E745</f>
        <v>0</v>
      </c>
      <c r="E740">
        <f>'Shipment Data for Provisioning'!F745</f>
        <v>0</v>
      </c>
      <c r="F740">
        <f>'Shipment Data for Provisioning'!G745</f>
        <v>0</v>
      </c>
      <c r="G740">
        <f>'Shipment Data for Provisioning'!H745</f>
        <v>0</v>
      </c>
      <c r="H740">
        <f>'Shipment Data for Provisioning'!I745</f>
        <v>0</v>
      </c>
      <c r="I740" t="e">
        <f>VLOOKUP(B740,'Location Data'!$C$5:$G$1004,4,FALSE)</f>
        <v>#N/A</v>
      </c>
      <c r="J740" t="e">
        <f>VLOOKUP(B740,'Location Data'!$C$5:$G$1004,5,FALSE)</f>
        <v>#N/A</v>
      </c>
      <c r="K740" t="e">
        <f>VLOOKUP(C740,'Location Data'!$C$5:$G$1004,4,FALSE)</f>
        <v>#N/A</v>
      </c>
      <c r="L740" t="e">
        <f>VLOOKUP(C740,'Location Data'!$C$5:$G$1004,5,FALSE)</f>
        <v>#N/A</v>
      </c>
    </row>
    <row r="741" spans="1:12" x14ac:dyDescent="0.2">
      <c r="A741">
        <f>'Shipment Data for Provisioning'!B746</f>
        <v>0</v>
      </c>
      <c r="B741">
        <f>'Shipment Data for Provisioning'!C746</f>
        <v>0</v>
      </c>
      <c r="C741">
        <f>'Shipment Data for Provisioning'!D746</f>
        <v>0</v>
      </c>
      <c r="D741">
        <f>'Shipment Data for Provisioning'!E746</f>
        <v>0</v>
      </c>
      <c r="E741">
        <f>'Shipment Data for Provisioning'!F746</f>
        <v>0</v>
      </c>
      <c r="F741">
        <f>'Shipment Data for Provisioning'!G746</f>
        <v>0</v>
      </c>
      <c r="G741">
        <f>'Shipment Data for Provisioning'!H746</f>
        <v>0</v>
      </c>
      <c r="H741">
        <f>'Shipment Data for Provisioning'!I746</f>
        <v>0</v>
      </c>
      <c r="I741" t="e">
        <f>VLOOKUP(B741,'Location Data'!$C$5:$G$1004,4,FALSE)</f>
        <v>#N/A</v>
      </c>
      <c r="J741" t="e">
        <f>VLOOKUP(B741,'Location Data'!$C$5:$G$1004,5,FALSE)</f>
        <v>#N/A</v>
      </c>
      <c r="K741" t="e">
        <f>VLOOKUP(C741,'Location Data'!$C$5:$G$1004,4,FALSE)</f>
        <v>#N/A</v>
      </c>
      <c r="L741" t="e">
        <f>VLOOKUP(C741,'Location Data'!$C$5:$G$1004,5,FALSE)</f>
        <v>#N/A</v>
      </c>
    </row>
    <row r="742" spans="1:12" x14ac:dyDescent="0.2">
      <c r="A742">
        <f>'Shipment Data for Provisioning'!B747</f>
        <v>0</v>
      </c>
      <c r="B742">
        <f>'Shipment Data for Provisioning'!C747</f>
        <v>0</v>
      </c>
      <c r="C742">
        <f>'Shipment Data for Provisioning'!D747</f>
        <v>0</v>
      </c>
      <c r="D742">
        <f>'Shipment Data for Provisioning'!E747</f>
        <v>0</v>
      </c>
      <c r="E742">
        <f>'Shipment Data for Provisioning'!F747</f>
        <v>0</v>
      </c>
      <c r="F742">
        <f>'Shipment Data for Provisioning'!G747</f>
        <v>0</v>
      </c>
      <c r="G742">
        <f>'Shipment Data for Provisioning'!H747</f>
        <v>0</v>
      </c>
      <c r="H742">
        <f>'Shipment Data for Provisioning'!I747</f>
        <v>0</v>
      </c>
      <c r="I742" t="e">
        <f>VLOOKUP(B742,'Location Data'!$C$5:$G$1004,4,FALSE)</f>
        <v>#N/A</v>
      </c>
      <c r="J742" t="e">
        <f>VLOOKUP(B742,'Location Data'!$C$5:$G$1004,5,FALSE)</f>
        <v>#N/A</v>
      </c>
      <c r="K742" t="e">
        <f>VLOOKUP(C742,'Location Data'!$C$5:$G$1004,4,FALSE)</f>
        <v>#N/A</v>
      </c>
      <c r="L742" t="e">
        <f>VLOOKUP(C742,'Location Data'!$C$5:$G$1004,5,FALSE)</f>
        <v>#N/A</v>
      </c>
    </row>
    <row r="743" spans="1:12" x14ac:dyDescent="0.2">
      <c r="A743">
        <f>'Shipment Data for Provisioning'!B748</f>
        <v>0</v>
      </c>
      <c r="B743">
        <f>'Shipment Data for Provisioning'!C748</f>
        <v>0</v>
      </c>
      <c r="C743">
        <f>'Shipment Data for Provisioning'!D748</f>
        <v>0</v>
      </c>
      <c r="D743">
        <f>'Shipment Data for Provisioning'!E748</f>
        <v>0</v>
      </c>
      <c r="E743">
        <f>'Shipment Data for Provisioning'!F748</f>
        <v>0</v>
      </c>
      <c r="F743">
        <f>'Shipment Data for Provisioning'!G748</f>
        <v>0</v>
      </c>
      <c r="G743">
        <f>'Shipment Data for Provisioning'!H748</f>
        <v>0</v>
      </c>
      <c r="H743">
        <f>'Shipment Data for Provisioning'!I748</f>
        <v>0</v>
      </c>
      <c r="I743" t="e">
        <f>VLOOKUP(B743,'Location Data'!$C$5:$G$1004,4,FALSE)</f>
        <v>#N/A</v>
      </c>
      <c r="J743" t="e">
        <f>VLOOKUP(B743,'Location Data'!$C$5:$G$1004,5,FALSE)</f>
        <v>#N/A</v>
      </c>
      <c r="K743" t="e">
        <f>VLOOKUP(C743,'Location Data'!$C$5:$G$1004,4,FALSE)</f>
        <v>#N/A</v>
      </c>
      <c r="L743" t="e">
        <f>VLOOKUP(C743,'Location Data'!$C$5:$G$1004,5,FALSE)</f>
        <v>#N/A</v>
      </c>
    </row>
    <row r="744" spans="1:12" x14ac:dyDescent="0.2">
      <c r="A744">
        <f>'Shipment Data for Provisioning'!B749</f>
        <v>0</v>
      </c>
      <c r="B744">
        <f>'Shipment Data for Provisioning'!C749</f>
        <v>0</v>
      </c>
      <c r="C744">
        <f>'Shipment Data for Provisioning'!D749</f>
        <v>0</v>
      </c>
      <c r="D744">
        <f>'Shipment Data for Provisioning'!E749</f>
        <v>0</v>
      </c>
      <c r="E744">
        <f>'Shipment Data for Provisioning'!F749</f>
        <v>0</v>
      </c>
      <c r="F744">
        <f>'Shipment Data for Provisioning'!G749</f>
        <v>0</v>
      </c>
      <c r="G744">
        <f>'Shipment Data for Provisioning'!H749</f>
        <v>0</v>
      </c>
      <c r="H744">
        <f>'Shipment Data for Provisioning'!I749</f>
        <v>0</v>
      </c>
      <c r="I744" t="e">
        <f>VLOOKUP(B744,'Location Data'!$C$5:$G$1004,4,FALSE)</f>
        <v>#N/A</v>
      </c>
      <c r="J744" t="e">
        <f>VLOOKUP(B744,'Location Data'!$C$5:$G$1004,5,FALSE)</f>
        <v>#N/A</v>
      </c>
      <c r="K744" t="e">
        <f>VLOOKUP(C744,'Location Data'!$C$5:$G$1004,4,FALSE)</f>
        <v>#N/A</v>
      </c>
      <c r="L744" t="e">
        <f>VLOOKUP(C744,'Location Data'!$C$5:$G$1004,5,FALSE)</f>
        <v>#N/A</v>
      </c>
    </row>
    <row r="745" spans="1:12" x14ac:dyDescent="0.2">
      <c r="A745">
        <f>'Shipment Data for Provisioning'!B750</f>
        <v>0</v>
      </c>
      <c r="B745">
        <f>'Shipment Data for Provisioning'!C750</f>
        <v>0</v>
      </c>
      <c r="C745">
        <f>'Shipment Data for Provisioning'!D750</f>
        <v>0</v>
      </c>
      <c r="D745">
        <f>'Shipment Data for Provisioning'!E750</f>
        <v>0</v>
      </c>
      <c r="E745">
        <f>'Shipment Data for Provisioning'!F750</f>
        <v>0</v>
      </c>
      <c r="F745">
        <f>'Shipment Data for Provisioning'!G750</f>
        <v>0</v>
      </c>
      <c r="G745">
        <f>'Shipment Data for Provisioning'!H750</f>
        <v>0</v>
      </c>
      <c r="H745">
        <f>'Shipment Data for Provisioning'!I750</f>
        <v>0</v>
      </c>
      <c r="I745" t="e">
        <f>VLOOKUP(B745,'Location Data'!$C$5:$G$1004,4,FALSE)</f>
        <v>#N/A</v>
      </c>
      <c r="J745" t="e">
        <f>VLOOKUP(B745,'Location Data'!$C$5:$G$1004,5,FALSE)</f>
        <v>#N/A</v>
      </c>
      <c r="K745" t="e">
        <f>VLOOKUP(C745,'Location Data'!$C$5:$G$1004,4,FALSE)</f>
        <v>#N/A</v>
      </c>
      <c r="L745" t="e">
        <f>VLOOKUP(C745,'Location Data'!$C$5:$G$1004,5,FALSE)</f>
        <v>#N/A</v>
      </c>
    </row>
    <row r="746" spans="1:12" x14ac:dyDescent="0.2">
      <c r="A746">
        <f>'Shipment Data for Provisioning'!B751</f>
        <v>0</v>
      </c>
      <c r="B746">
        <f>'Shipment Data for Provisioning'!C751</f>
        <v>0</v>
      </c>
      <c r="C746">
        <f>'Shipment Data for Provisioning'!D751</f>
        <v>0</v>
      </c>
      <c r="D746">
        <f>'Shipment Data for Provisioning'!E751</f>
        <v>0</v>
      </c>
      <c r="E746">
        <f>'Shipment Data for Provisioning'!F751</f>
        <v>0</v>
      </c>
      <c r="F746">
        <f>'Shipment Data for Provisioning'!G751</f>
        <v>0</v>
      </c>
      <c r="G746">
        <f>'Shipment Data for Provisioning'!H751</f>
        <v>0</v>
      </c>
      <c r="H746">
        <f>'Shipment Data for Provisioning'!I751</f>
        <v>0</v>
      </c>
      <c r="I746" t="e">
        <f>VLOOKUP(B746,'Location Data'!$C$5:$G$1004,4,FALSE)</f>
        <v>#N/A</v>
      </c>
      <c r="J746" t="e">
        <f>VLOOKUP(B746,'Location Data'!$C$5:$G$1004,5,FALSE)</f>
        <v>#N/A</v>
      </c>
      <c r="K746" t="e">
        <f>VLOOKUP(C746,'Location Data'!$C$5:$G$1004,4,FALSE)</f>
        <v>#N/A</v>
      </c>
      <c r="L746" t="e">
        <f>VLOOKUP(C746,'Location Data'!$C$5:$G$1004,5,FALSE)</f>
        <v>#N/A</v>
      </c>
    </row>
    <row r="747" spans="1:12" x14ac:dyDescent="0.2">
      <c r="A747">
        <f>'Shipment Data for Provisioning'!B752</f>
        <v>0</v>
      </c>
      <c r="B747">
        <f>'Shipment Data for Provisioning'!C752</f>
        <v>0</v>
      </c>
      <c r="C747">
        <f>'Shipment Data for Provisioning'!D752</f>
        <v>0</v>
      </c>
      <c r="D747">
        <f>'Shipment Data for Provisioning'!E752</f>
        <v>0</v>
      </c>
      <c r="E747">
        <f>'Shipment Data for Provisioning'!F752</f>
        <v>0</v>
      </c>
      <c r="F747">
        <f>'Shipment Data for Provisioning'!G752</f>
        <v>0</v>
      </c>
      <c r="G747">
        <f>'Shipment Data for Provisioning'!H752</f>
        <v>0</v>
      </c>
      <c r="H747">
        <f>'Shipment Data for Provisioning'!I752</f>
        <v>0</v>
      </c>
      <c r="I747" t="e">
        <f>VLOOKUP(B747,'Location Data'!$C$5:$G$1004,4,FALSE)</f>
        <v>#N/A</v>
      </c>
      <c r="J747" t="e">
        <f>VLOOKUP(B747,'Location Data'!$C$5:$G$1004,5,FALSE)</f>
        <v>#N/A</v>
      </c>
      <c r="K747" t="e">
        <f>VLOOKUP(C747,'Location Data'!$C$5:$G$1004,4,FALSE)</f>
        <v>#N/A</v>
      </c>
      <c r="L747" t="e">
        <f>VLOOKUP(C747,'Location Data'!$C$5:$G$1004,5,FALSE)</f>
        <v>#N/A</v>
      </c>
    </row>
    <row r="748" spans="1:12" x14ac:dyDescent="0.2">
      <c r="A748">
        <f>'Shipment Data for Provisioning'!B753</f>
        <v>0</v>
      </c>
      <c r="B748">
        <f>'Shipment Data for Provisioning'!C753</f>
        <v>0</v>
      </c>
      <c r="C748">
        <f>'Shipment Data for Provisioning'!D753</f>
        <v>0</v>
      </c>
      <c r="D748">
        <f>'Shipment Data for Provisioning'!E753</f>
        <v>0</v>
      </c>
      <c r="E748">
        <f>'Shipment Data for Provisioning'!F753</f>
        <v>0</v>
      </c>
      <c r="F748">
        <f>'Shipment Data for Provisioning'!G753</f>
        <v>0</v>
      </c>
      <c r="G748">
        <f>'Shipment Data for Provisioning'!H753</f>
        <v>0</v>
      </c>
      <c r="H748">
        <f>'Shipment Data for Provisioning'!I753</f>
        <v>0</v>
      </c>
      <c r="I748" t="e">
        <f>VLOOKUP(B748,'Location Data'!$C$5:$G$1004,4,FALSE)</f>
        <v>#N/A</v>
      </c>
      <c r="J748" t="e">
        <f>VLOOKUP(B748,'Location Data'!$C$5:$G$1004,5,FALSE)</f>
        <v>#N/A</v>
      </c>
      <c r="K748" t="e">
        <f>VLOOKUP(C748,'Location Data'!$C$5:$G$1004,4,FALSE)</f>
        <v>#N/A</v>
      </c>
      <c r="L748" t="e">
        <f>VLOOKUP(C748,'Location Data'!$C$5:$G$1004,5,FALSE)</f>
        <v>#N/A</v>
      </c>
    </row>
    <row r="749" spans="1:12" x14ac:dyDescent="0.2">
      <c r="A749">
        <f>'Shipment Data for Provisioning'!B754</f>
        <v>0</v>
      </c>
      <c r="B749">
        <f>'Shipment Data for Provisioning'!C754</f>
        <v>0</v>
      </c>
      <c r="C749">
        <f>'Shipment Data for Provisioning'!D754</f>
        <v>0</v>
      </c>
      <c r="D749">
        <f>'Shipment Data for Provisioning'!E754</f>
        <v>0</v>
      </c>
      <c r="E749">
        <f>'Shipment Data for Provisioning'!F754</f>
        <v>0</v>
      </c>
      <c r="F749">
        <f>'Shipment Data for Provisioning'!G754</f>
        <v>0</v>
      </c>
      <c r="G749">
        <f>'Shipment Data for Provisioning'!H754</f>
        <v>0</v>
      </c>
      <c r="H749">
        <f>'Shipment Data for Provisioning'!I754</f>
        <v>0</v>
      </c>
      <c r="I749" t="e">
        <f>VLOOKUP(B749,'Location Data'!$C$5:$G$1004,4,FALSE)</f>
        <v>#N/A</v>
      </c>
      <c r="J749" t="e">
        <f>VLOOKUP(B749,'Location Data'!$C$5:$G$1004,5,FALSE)</f>
        <v>#N/A</v>
      </c>
      <c r="K749" t="e">
        <f>VLOOKUP(C749,'Location Data'!$C$5:$G$1004,4,FALSE)</f>
        <v>#N/A</v>
      </c>
      <c r="L749" t="e">
        <f>VLOOKUP(C749,'Location Data'!$C$5:$G$1004,5,FALSE)</f>
        <v>#N/A</v>
      </c>
    </row>
    <row r="750" spans="1:12" x14ac:dyDescent="0.2">
      <c r="A750">
        <f>'Shipment Data for Provisioning'!B755</f>
        <v>0</v>
      </c>
      <c r="B750">
        <f>'Shipment Data for Provisioning'!C755</f>
        <v>0</v>
      </c>
      <c r="C750">
        <f>'Shipment Data for Provisioning'!D755</f>
        <v>0</v>
      </c>
      <c r="D750">
        <f>'Shipment Data for Provisioning'!E755</f>
        <v>0</v>
      </c>
      <c r="E750">
        <f>'Shipment Data for Provisioning'!F755</f>
        <v>0</v>
      </c>
      <c r="F750">
        <f>'Shipment Data for Provisioning'!G755</f>
        <v>0</v>
      </c>
      <c r="G750">
        <f>'Shipment Data for Provisioning'!H755</f>
        <v>0</v>
      </c>
      <c r="H750">
        <f>'Shipment Data for Provisioning'!I755</f>
        <v>0</v>
      </c>
      <c r="I750" t="e">
        <f>VLOOKUP(B750,'Location Data'!$C$5:$G$1004,4,FALSE)</f>
        <v>#N/A</v>
      </c>
      <c r="J750" t="e">
        <f>VLOOKUP(B750,'Location Data'!$C$5:$G$1004,5,FALSE)</f>
        <v>#N/A</v>
      </c>
      <c r="K750" t="e">
        <f>VLOOKUP(C750,'Location Data'!$C$5:$G$1004,4,FALSE)</f>
        <v>#N/A</v>
      </c>
      <c r="L750" t="e">
        <f>VLOOKUP(C750,'Location Data'!$C$5:$G$1004,5,FALSE)</f>
        <v>#N/A</v>
      </c>
    </row>
    <row r="751" spans="1:12" x14ac:dyDescent="0.2">
      <c r="A751">
        <f>'Shipment Data for Provisioning'!B756</f>
        <v>0</v>
      </c>
      <c r="B751">
        <f>'Shipment Data for Provisioning'!C756</f>
        <v>0</v>
      </c>
      <c r="C751">
        <f>'Shipment Data for Provisioning'!D756</f>
        <v>0</v>
      </c>
      <c r="D751">
        <f>'Shipment Data for Provisioning'!E756</f>
        <v>0</v>
      </c>
      <c r="E751">
        <f>'Shipment Data for Provisioning'!F756</f>
        <v>0</v>
      </c>
      <c r="F751">
        <f>'Shipment Data for Provisioning'!G756</f>
        <v>0</v>
      </c>
      <c r="G751">
        <f>'Shipment Data for Provisioning'!H756</f>
        <v>0</v>
      </c>
      <c r="H751">
        <f>'Shipment Data for Provisioning'!I756</f>
        <v>0</v>
      </c>
      <c r="I751" t="e">
        <f>VLOOKUP(B751,'Location Data'!$C$5:$G$1004,4,FALSE)</f>
        <v>#N/A</v>
      </c>
      <c r="J751" t="e">
        <f>VLOOKUP(B751,'Location Data'!$C$5:$G$1004,5,FALSE)</f>
        <v>#N/A</v>
      </c>
      <c r="K751" t="e">
        <f>VLOOKUP(C751,'Location Data'!$C$5:$G$1004,4,FALSE)</f>
        <v>#N/A</v>
      </c>
      <c r="L751" t="e">
        <f>VLOOKUP(C751,'Location Data'!$C$5:$G$1004,5,FALSE)</f>
        <v>#N/A</v>
      </c>
    </row>
    <row r="752" spans="1:12" x14ac:dyDescent="0.2">
      <c r="A752">
        <f>'Shipment Data for Provisioning'!B757</f>
        <v>0</v>
      </c>
      <c r="B752">
        <f>'Shipment Data for Provisioning'!C757</f>
        <v>0</v>
      </c>
      <c r="C752">
        <f>'Shipment Data for Provisioning'!D757</f>
        <v>0</v>
      </c>
      <c r="D752">
        <f>'Shipment Data for Provisioning'!E757</f>
        <v>0</v>
      </c>
      <c r="E752">
        <f>'Shipment Data for Provisioning'!F757</f>
        <v>0</v>
      </c>
      <c r="F752">
        <f>'Shipment Data for Provisioning'!G757</f>
        <v>0</v>
      </c>
      <c r="G752">
        <f>'Shipment Data for Provisioning'!H757</f>
        <v>0</v>
      </c>
      <c r="H752">
        <f>'Shipment Data for Provisioning'!I757</f>
        <v>0</v>
      </c>
      <c r="I752" t="e">
        <f>VLOOKUP(B752,'Location Data'!$C$5:$G$1004,4,FALSE)</f>
        <v>#N/A</v>
      </c>
      <c r="J752" t="e">
        <f>VLOOKUP(B752,'Location Data'!$C$5:$G$1004,5,FALSE)</f>
        <v>#N/A</v>
      </c>
      <c r="K752" t="e">
        <f>VLOOKUP(C752,'Location Data'!$C$5:$G$1004,4,FALSE)</f>
        <v>#N/A</v>
      </c>
      <c r="L752" t="e">
        <f>VLOOKUP(C752,'Location Data'!$C$5:$G$1004,5,FALSE)</f>
        <v>#N/A</v>
      </c>
    </row>
    <row r="753" spans="1:12" x14ac:dyDescent="0.2">
      <c r="A753">
        <f>'Shipment Data for Provisioning'!B758</f>
        <v>0</v>
      </c>
      <c r="B753">
        <f>'Shipment Data for Provisioning'!C758</f>
        <v>0</v>
      </c>
      <c r="C753">
        <f>'Shipment Data for Provisioning'!D758</f>
        <v>0</v>
      </c>
      <c r="D753">
        <f>'Shipment Data for Provisioning'!E758</f>
        <v>0</v>
      </c>
      <c r="E753">
        <f>'Shipment Data for Provisioning'!F758</f>
        <v>0</v>
      </c>
      <c r="F753">
        <f>'Shipment Data for Provisioning'!G758</f>
        <v>0</v>
      </c>
      <c r="G753">
        <f>'Shipment Data for Provisioning'!H758</f>
        <v>0</v>
      </c>
      <c r="H753">
        <f>'Shipment Data for Provisioning'!I758</f>
        <v>0</v>
      </c>
      <c r="I753" t="e">
        <f>VLOOKUP(B753,'Location Data'!$C$5:$G$1004,4,FALSE)</f>
        <v>#N/A</v>
      </c>
      <c r="J753" t="e">
        <f>VLOOKUP(B753,'Location Data'!$C$5:$G$1004,5,FALSE)</f>
        <v>#N/A</v>
      </c>
      <c r="K753" t="e">
        <f>VLOOKUP(C753,'Location Data'!$C$5:$G$1004,4,FALSE)</f>
        <v>#N/A</v>
      </c>
      <c r="L753" t="e">
        <f>VLOOKUP(C753,'Location Data'!$C$5:$G$1004,5,FALSE)</f>
        <v>#N/A</v>
      </c>
    </row>
    <row r="754" spans="1:12" x14ac:dyDescent="0.2">
      <c r="A754">
        <f>'Shipment Data for Provisioning'!B759</f>
        <v>0</v>
      </c>
      <c r="B754">
        <f>'Shipment Data for Provisioning'!C759</f>
        <v>0</v>
      </c>
      <c r="C754">
        <f>'Shipment Data for Provisioning'!D759</f>
        <v>0</v>
      </c>
      <c r="D754">
        <f>'Shipment Data for Provisioning'!E759</f>
        <v>0</v>
      </c>
      <c r="E754">
        <f>'Shipment Data for Provisioning'!F759</f>
        <v>0</v>
      </c>
      <c r="F754">
        <f>'Shipment Data for Provisioning'!G759</f>
        <v>0</v>
      </c>
      <c r="G754">
        <f>'Shipment Data for Provisioning'!H759</f>
        <v>0</v>
      </c>
      <c r="H754">
        <f>'Shipment Data for Provisioning'!I759</f>
        <v>0</v>
      </c>
      <c r="I754" t="e">
        <f>VLOOKUP(B754,'Location Data'!$C$5:$G$1004,4,FALSE)</f>
        <v>#N/A</v>
      </c>
      <c r="J754" t="e">
        <f>VLOOKUP(B754,'Location Data'!$C$5:$G$1004,5,FALSE)</f>
        <v>#N/A</v>
      </c>
      <c r="K754" t="e">
        <f>VLOOKUP(C754,'Location Data'!$C$5:$G$1004,4,FALSE)</f>
        <v>#N/A</v>
      </c>
      <c r="L754" t="e">
        <f>VLOOKUP(C754,'Location Data'!$C$5:$G$1004,5,FALSE)</f>
        <v>#N/A</v>
      </c>
    </row>
    <row r="755" spans="1:12" x14ac:dyDescent="0.2">
      <c r="A755">
        <f>'Shipment Data for Provisioning'!B760</f>
        <v>0</v>
      </c>
      <c r="B755">
        <f>'Shipment Data for Provisioning'!C760</f>
        <v>0</v>
      </c>
      <c r="C755">
        <f>'Shipment Data for Provisioning'!D760</f>
        <v>0</v>
      </c>
      <c r="D755">
        <f>'Shipment Data for Provisioning'!E760</f>
        <v>0</v>
      </c>
      <c r="E755">
        <f>'Shipment Data for Provisioning'!F760</f>
        <v>0</v>
      </c>
      <c r="F755">
        <f>'Shipment Data for Provisioning'!G760</f>
        <v>0</v>
      </c>
      <c r="G755">
        <f>'Shipment Data for Provisioning'!H760</f>
        <v>0</v>
      </c>
      <c r="H755">
        <f>'Shipment Data for Provisioning'!I760</f>
        <v>0</v>
      </c>
      <c r="I755" t="e">
        <f>VLOOKUP(B755,'Location Data'!$C$5:$G$1004,4,FALSE)</f>
        <v>#N/A</v>
      </c>
      <c r="J755" t="e">
        <f>VLOOKUP(B755,'Location Data'!$C$5:$G$1004,5,FALSE)</f>
        <v>#N/A</v>
      </c>
      <c r="K755" t="e">
        <f>VLOOKUP(C755,'Location Data'!$C$5:$G$1004,4,FALSE)</f>
        <v>#N/A</v>
      </c>
      <c r="L755" t="e">
        <f>VLOOKUP(C755,'Location Data'!$C$5:$G$1004,5,FALSE)</f>
        <v>#N/A</v>
      </c>
    </row>
    <row r="756" spans="1:12" x14ac:dyDescent="0.2">
      <c r="A756">
        <f>'Shipment Data for Provisioning'!B761</f>
        <v>0</v>
      </c>
      <c r="B756">
        <f>'Shipment Data for Provisioning'!C761</f>
        <v>0</v>
      </c>
      <c r="C756">
        <f>'Shipment Data for Provisioning'!D761</f>
        <v>0</v>
      </c>
      <c r="D756">
        <f>'Shipment Data for Provisioning'!E761</f>
        <v>0</v>
      </c>
      <c r="E756">
        <f>'Shipment Data for Provisioning'!F761</f>
        <v>0</v>
      </c>
      <c r="F756">
        <f>'Shipment Data for Provisioning'!G761</f>
        <v>0</v>
      </c>
      <c r="G756">
        <f>'Shipment Data for Provisioning'!H761</f>
        <v>0</v>
      </c>
      <c r="H756">
        <f>'Shipment Data for Provisioning'!I761</f>
        <v>0</v>
      </c>
      <c r="I756" t="e">
        <f>VLOOKUP(B756,'Location Data'!$C$5:$G$1004,4,FALSE)</f>
        <v>#N/A</v>
      </c>
      <c r="J756" t="e">
        <f>VLOOKUP(B756,'Location Data'!$C$5:$G$1004,5,FALSE)</f>
        <v>#N/A</v>
      </c>
      <c r="K756" t="e">
        <f>VLOOKUP(C756,'Location Data'!$C$5:$G$1004,4,FALSE)</f>
        <v>#N/A</v>
      </c>
      <c r="L756" t="e">
        <f>VLOOKUP(C756,'Location Data'!$C$5:$G$1004,5,FALSE)</f>
        <v>#N/A</v>
      </c>
    </row>
    <row r="757" spans="1:12" x14ac:dyDescent="0.2">
      <c r="A757">
        <f>'Shipment Data for Provisioning'!B762</f>
        <v>0</v>
      </c>
      <c r="B757">
        <f>'Shipment Data for Provisioning'!C762</f>
        <v>0</v>
      </c>
      <c r="C757">
        <f>'Shipment Data for Provisioning'!D762</f>
        <v>0</v>
      </c>
      <c r="D757">
        <f>'Shipment Data for Provisioning'!E762</f>
        <v>0</v>
      </c>
      <c r="E757">
        <f>'Shipment Data for Provisioning'!F762</f>
        <v>0</v>
      </c>
      <c r="F757">
        <f>'Shipment Data for Provisioning'!G762</f>
        <v>0</v>
      </c>
      <c r="G757">
        <f>'Shipment Data for Provisioning'!H762</f>
        <v>0</v>
      </c>
      <c r="H757">
        <f>'Shipment Data for Provisioning'!I762</f>
        <v>0</v>
      </c>
      <c r="I757" t="e">
        <f>VLOOKUP(B757,'Location Data'!$C$5:$G$1004,4,FALSE)</f>
        <v>#N/A</v>
      </c>
      <c r="J757" t="e">
        <f>VLOOKUP(B757,'Location Data'!$C$5:$G$1004,5,FALSE)</f>
        <v>#N/A</v>
      </c>
      <c r="K757" t="e">
        <f>VLOOKUP(C757,'Location Data'!$C$5:$G$1004,4,FALSE)</f>
        <v>#N/A</v>
      </c>
      <c r="L757" t="e">
        <f>VLOOKUP(C757,'Location Data'!$C$5:$G$1004,5,FALSE)</f>
        <v>#N/A</v>
      </c>
    </row>
    <row r="758" spans="1:12" x14ac:dyDescent="0.2">
      <c r="A758">
        <f>'Shipment Data for Provisioning'!B763</f>
        <v>0</v>
      </c>
      <c r="B758">
        <f>'Shipment Data for Provisioning'!C763</f>
        <v>0</v>
      </c>
      <c r="C758">
        <f>'Shipment Data for Provisioning'!D763</f>
        <v>0</v>
      </c>
      <c r="D758">
        <f>'Shipment Data for Provisioning'!E763</f>
        <v>0</v>
      </c>
      <c r="E758">
        <f>'Shipment Data for Provisioning'!F763</f>
        <v>0</v>
      </c>
      <c r="F758">
        <f>'Shipment Data for Provisioning'!G763</f>
        <v>0</v>
      </c>
      <c r="G758">
        <f>'Shipment Data for Provisioning'!H763</f>
        <v>0</v>
      </c>
      <c r="H758">
        <f>'Shipment Data for Provisioning'!I763</f>
        <v>0</v>
      </c>
      <c r="I758" t="e">
        <f>VLOOKUP(B758,'Location Data'!$C$5:$G$1004,4,FALSE)</f>
        <v>#N/A</v>
      </c>
      <c r="J758" t="e">
        <f>VLOOKUP(B758,'Location Data'!$C$5:$G$1004,5,FALSE)</f>
        <v>#N/A</v>
      </c>
      <c r="K758" t="e">
        <f>VLOOKUP(C758,'Location Data'!$C$5:$G$1004,4,FALSE)</f>
        <v>#N/A</v>
      </c>
      <c r="L758" t="e">
        <f>VLOOKUP(C758,'Location Data'!$C$5:$G$1004,5,FALSE)</f>
        <v>#N/A</v>
      </c>
    </row>
    <row r="759" spans="1:12" x14ac:dyDescent="0.2">
      <c r="A759">
        <f>'Shipment Data for Provisioning'!B764</f>
        <v>0</v>
      </c>
      <c r="B759">
        <f>'Shipment Data for Provisioning'!C764</f>
        <v>0</v>
      </c>
      <c r="C759">
        <f>'Shipment Data for Provisioning'!D764</f>
        <v>0</v>
      </c>
      <c r="D759">
        <f>'Shipment Data for Provisioning'!E764</f>
        <v>0</v>
      </c>
      <c r="E759">
        <f>'Shipment Data for Provisioning'!F764</f>
        <v>0</v>
      </c>
      <c r="F759">
        <f>'Shipment Data for Provisioning'!G764</f>
        <v>0</v>
      </c>
      <c r="G759">
        <f>'Shipment Data for Provisioning'!H764</f>
        <v>0</v>
      </c>
      <c r="H759">
        <f>'Shipment Data for Provisioning'!I764</f>
        <v>0</v>
      </c>
      <c r="I759" t="e">
        <f>VLOOKUP(B759,'Location Data'!$C$5:$G$1004,4,FALSE)</f>
        <v>#N/A</v>
      </c>
      <c r="J759" t="e">
        <f>VLOOKUP(B759,'Location Data'!$C$5:$G$1004,5,FALSE)</f>
        <v>#N/A</v>
      </c>
      <c r="K759" t="e">
        <f>VLOOKUP(C759,'Location Data'!$C$5:$G$1004,4,FALSE)</f>
        <v>#N/A</v>
      </c>
      <c r="L759" t="e">
        <f>VLOOKUP(C759,'Location Data'!$C$5:$G$1004,5,FALSE)</f>
        <v>#N/A</v>
      </c>
    </row>
    <row r="760" spans="1:12" x14ac:dyDescent="0.2">
      <c r="A760">
        <f>'Shipment Data for Provisioning'!B765</f>
        <v>0</v>
      </c>
      <c r="B760">
        <f>'Shipment Data for Provisioning'!C765</f>
        <v>0</v>
      </c>
      <c r="C760">
        <f>'Shipment Data for Provisioning'!D765</f>
        <v>0</v>
      </c>
      <c r="D760">
        <f>'Shipment Data for Provisioning'!E765</f>
        <v>0</v>
      </c>
      <c r="E760">
        <f>'Shipment Data for Provisioning'!F765</f>
        <v>0</v>
      </c>
      <c r="F760">
        <f>'Shipment Data for Provisioning'!G765</f>
        <v>0</v>
      </c>
      <c r="G760">
        <f>'Shipment Data for Provisioning'!H765</f>
        <v>0</v>
      </c>
      <c r="H760">
        <f>'Shipment Data for Provisioning'!I765</f>
        <v>0</v>
      </c>
      <c r="I760" t="e">
        <f>VLOOKUP(B760,'Location Data'!$C$5:$G$1004,4,FALSE)</f>
        <v>#N/A</v>
      </c>
      <c r="J760" t="e">
        <f>VLOOKUP(B760,'Location Data'!$C$5:$G$1004,5,FALSE)</f>
        <v>#N/A</v>
      </c>
      <c r="K760" t="e">
        <f>VLOOKUP(C760,'Location Data'!$C$5:$G$1004,4,FALSE)</f>
        <v>#N/A</v>
      </c>
      <c r="L760" t="e">
        <f>VLOOKUP(C760,'Location Data'!$C$5:$G$1004,5,FALSE)</f>
        <v>#N/A</v>
      </c>
    </row>
    <row r="761" spans="1:12" x14ac:dyDescent="0.2">
      <c r="A761">
        <f>'Shipment Data for Provisioning'!B766</f>
        <v>0</v>
      </c>
      <c r="B761">
        <f>'Shipment Data for Provisioning'!C766</f>
        <v>0</v>
      </c>
      <c r="C761">
        <f>'Shipment Data for Provisioning'!D766</f>
        <v>0</v>
      </c>
      <c r="D761">
        <f>'Shipment Data for Provisioning'!E766</f>
        <v>0</v>
      </c>
      <c r="E761">
        <f>'Shipment Data for Provisioning'!F766</f>
        <v>0</v>
      </c>
      <c r="F761">
        <f>'Shipment Data for Provisioning'!G766</f>
        <v>0</v>
      </c>
      <c r="G761">
        <f>'Shipment Data for Provisioning'!H766</f>
        <v>0</v>
      </c>
      <c r="H761">
        <f>'Shipment Data for Provisioning'!I766</f>
        <v>0</v>
      </c>
      <c r="I761" t="e">
        <f>VLOOKUP(B761,'Location Data'!$C$5:$G$1004,4,FALSE)</f>
        <v>#N/A</v>
      </c>
      <c r="J761" t="e">
        <f>VLOOKUP(B761,'Location Data'!$C$5:$G$1004,5,FALSE)</f>
        <v>#N/A</v>
      </c>
      <c r="K761" t="e">
        <f>VLOOKUP(C761,'Location Data'!$C$5:$G$1004,4,FALSE)</f>
        <v>#N/A</v>
      </c>
      <c r="L761" t="e">
        <f>VLOOKUP(C761,'Location Data'!$C$5:$G$1004,5,FALSE)</f>
        <v>#N/A</v>
      </c>
    </row>
    <row r="762" spans="1:12" x14ac:dyDescent="0.2">
      <c r="A762">
        <f>'Shipment Data for Provisioning'!B767</f>
        <v>0</v>
      </c>
      <c r="B762">
        <f>'Shipment Data for Provisioning'!C767</f>
        <v>0</v>
      </c>
      <c r="C762">
        <f>'Shipment Data for Provisioning'!D767</f>
        <v>0</v>
      </c>
      <c r="D762">
        <f>'Shipment Data for Provisioning'!E767</f>
        <v>0</v>
      </c>
      <c r="E762">
        <f>'Shipment Data for Provisioning'!F767</f>
        <v>0</v>
      </c>
      <c r="F762">
        <f>'Shipment Data for Provisioning'!G767</f>
        <v>0</v>
      </c>
      <c r="G762">
        <f>'Shipment Data for Provisioning'!H767</f>
        <v>0</v>
      </c>
      <c r="H762">
        <f>'Shipment Data for Provisioning'!I767</f>
        <v>0</v>
      </c>
      <c r="I762" t="e">
        <f>VLOOKUP(B762,'Location Data'!$C$5:$G$1004,4,FALSE)</f>
        <v>#N/A</v>
      </c>
      <c r="J762" t="e">
        <f>VLOOKUP(B762,'Location Data'!$C$5:$G$1004,5,FALSE)</f>
        <v>#N/A</v>
      </c>
      <c r="K762" t="e">
        <f>VLOOKUP(C762,'Location Data'!$C$5:$G$1004,4,FALSE)</f>
        <v>#N/A</v>
      </c>
      <c r="L762" t="e">
        <f>VLOOKUP(C762,'Location Data'!$C$5:$G$1004,5,FALSE)</f>
        <v>#N/A</v>
      </c>
    </row>
    <row r="763" spans="1:12" x14ac:dyDescent="0.2">
      <c r="A763">
        <f>'Shipment Data for Provisioning'!B768</f>
        <v>0</v>
      </c>
      <c r="B763">
        <f>'Shipment Data for Provisioning'!C768</f>
        <v>0</v>
      </c>
      <c r="C763">
        <f>'Shipment Data for Provisioning'!D768</f>
        <v>0</v>
      </c>
      <c r="D763">
        <f>'Shipment Data for Provisioning'!E768</f>
        <v>0</v>
      </c>
      <c r="E763">
        <f>'Shipment Data for Provisioning'!F768</f>
        <v>0</v>
      </c>
      <c r="F763">
        <f>'Shipment Data for Provisioning'!G768</f>
        <v>0</v>
      </c>
      <c r="G763">
        <f>'Shipment Data for Provisioning'!H768</f>
        <v>0</v>
      </c>
      <c r="H763">
        <f>'Shipment Data for Provisioning'!I768</f>
        <v>0</v>
      </c>
      <c r="I763" t="e">
        <f>VLOOKUP(B763,'Location Data'!$C$5:$G$1004,4,FALSE)</f>
        <v>#N/A</v>
      </c>
      <c r="J763" t="e">
        <f>VLOOKUP(B763,'Location Data'!$C$5:$G$1004,5,FALSE)</f>
        <v>#N/A</v>
      </c>
      <c r="K763" t="e">
        <f>VLOOKUP(C763,'Location Data'!$C$5:$G$1004,4,FALSE)</f>
        <v>#N/A</v>
      </c>
      <c r="L763" t="e">
        <f>VLOOKUP(C763,'Location Data'!$C$5:$G$1004,5,FALSE)</f>
        <v>#N/A</v>
      </c>
    </row>
    <row r="764" spans="1:12" x14ac:dyDescent="0.2">
      <c r="A764">
        <f>'Shipment Data for Provisioning'!B769</f>
        <v>0</v>
      </c>
      <c r="B764">
        <f>'Shipment Data for Provisioning'!C769</f>
        <v>0</v>
      </c>
      <c r="C764">
        <f>'Shipment Data for Provisioning'!D769</f>
        <v>0</v>
      </c>
      <c r="D764">
        <f>'Shipment Data for Provisioning'!E769</f>
        <v>0</v>
      </c>
      <c r="E764">
        <f>'Shipment Data for Provisioning'!F769</f>
        <v>0</v>
      </c>
      <c r="F764">
        <f>'Shipment Data for Provisioning'!G769</f>
        <v>0</v>
      </c>
      <c r="G764">
        <f>'Shipment Data for Provisioning'!H769</f>
        <v>0</v>
      </c>
      <c r="H764">
        <f>'Shipment Data for Provisioning'!I769</f>
        <v>0</v>
      </c>
      <c r="I764" t="e">
        <f>VLOOKUP(B764,'Location Data'!$C$5:$G$1004,4,FALSE)</f>
        <v>#N/A</v>
      </c>
      <c r="J764" t="e">
        <f>VLOOKUP(B764,'Location Data'!$C$5:$G$1004,5,FALSE)</f>
        <v>#N/A</v>
      </c>
      <c r="K764" t="e">
        <f>VLOOKUP(C764,'Location Data'!$C$5:$G$1004,4,FALSE)</f>
        <v>#N/A</v>
      </c>
      <c r="L764" t="e">
        <f>VLOOKUP(C764,'Location Data'!$C$5:$G$1004,5,FALSE)</f>
        <v>#N/A</v>
      </c>
    </row>
    <row r="765" spans="1:12" x14ac:dyDescent="0.2">
      <c r="A765">
        <f>'Shipment Data for Provisioning'!B770</f>
        <v>0</v>
      </c>
      <c r="B765">
        <f>'Shipment Data for Provisioning'!C770</f>
        <v>0</v>
      </c>
      <c r="C765">
        <f>'Shipment Data for Provisioning'!D770</f>
        <v>0</v>
      </c>
      <c r="D765">
        <f>'Shipment Data for Provisioning'!E770</f>
        <v>0</v>
      </c>
      <c r="E765">
        <f>'Shipment Data for Provisioning'!F770</f>
        <v>0</v>
      </c>
      <c r="F765">
        <f>'Shipment Data for Provisioning'!G770</f>
        <v>0</v>
      </c>
      <c r="G765">
        <f>'Shipment Data for Provisioning'!H770</f>
        <v>0</v>
      </c>
      <c r="H765">
        <f>'Shipment Data for Provisioning'!I770</f>
        <v>0</v>
      </c>
      <c r="I765" t="e">
        <f>VLOOKUP(B765,'Location Data'!$C$5:$G$1004,4,FALSE)</f>
        <v>#N/A</v>
      </c>
      <c r="J765" t="e">
        <f>VLOOKUP(B765,'Location Data'!$C$5:$G$1004,5,FALSE)</f>
        <v>#N/A</v>
      </c>
      <c r="K765" t="e">
        <f>VLOOKUP(C765,'Location Data'!$C$5:$G$1004,4,FALSE)</f>
        <v>#N/A</v>
      </c>
      <c r="L765" t="e">
        <f>VLOOKUP(C765,'Location Data'!$C$5:$G$1004,5,FALSE)</f>
        <v>#N/A</v>
      </c>
    </row>
    <row r="766" spans="1:12" x14ac:dyDescent="0.2">
      <c r="A766">
        <f>'Shipment Data for Provisioning'!B771</f>
        <v>0</v>
      </c>
      <c r="B766">
        <f>'Shipment Data for Provisioning'!C771</f>
        <v>0</v>
      </c>
      <c r="C766">
        <f>'Shipment Data for Provisioning'!D771</f>
        <v>0</v>
      </c>
      <c r="D766">
        <f>'Shipment Data for Provisioning'!E771</f>
        <v>0</v>
      </c>
      <c r="E766">
        <f>'Shipment Data for Provisioning'!F771</f>
        <v>0</v>
      </c>
      <c r="F766">
        <f>'Shipment Data for Provisioning'!G771</f>
        <v>0</v>
      </c>
      <c r="G766">
        <f>'Shipment Data for Provisioning'!H771</f>
        <v>0</v>
      </c>
      <c r="H766">
        <f>'Shipment Data for Provisioning'!I771</f>
        <v>0</v>
      </c>
      <c r="I766" t="e">
        <f>VLOOKUP(B766,'Location Data'!$C$5:$G$1004,4,FALSE)</f>
        <v>#N/A</v>
      </c>
      <c r="J766" t="e">
        <f>VLOOKUP(B766,'Location Data'!$C$5:$G$1004,5,FALSE)</f>
        <v>#N/A</v>
      </c>
      <c r="K766" t="e">
        <f>VLOOKUP(C766,'Location Data'!$C$5:$G$1004,4,FALSE)</f>
        <v>#N/A</v>
      </c>
      <c r="L766" t="e">
        <f>VLOOKUP(C766,'Location Data'!$C$5:$G$1004,5,FALSE)</f>
        <v>#N/A</v>
      </c>
    </row>
    <row r="767" spans="1:12" x14ac:dyDescent="0.2">
      <c r="A767">
        <f>'Shipment Data for Provisioning'!B772</f>
        <v>0</v>
      </c>
      <c r="B767">
        <f>'Shipment Data for Provisioning'!C772</f>
        <v>0</v>
      </c>
      <c r="C767">
        <f>'Shipment Data for Provisioning'!D772</f>
        <v>0</v>
      </c>
      <c r="D767">
        <f>'Shipment Data for Provisioning'!E772</f>
        <v>0</v>
      </c>
      <c r="E767">
        <f>'Shipment Data for Provisioning'!F772</f>
        <v>0</v>
      </c>
      <c r="F767">
        <f>'Shipment Data for Provisioning'!G772</f>
        <v>0</v>
      </c>
      <c r="G767">
        <f>'Shipment Data for Provisioning'!H772</f>
        <v>0</v>
      </c>
      <c r="H767">
        <f>'Shipment Data for Provisioning'!I772</f>
        <v>0</v>
      </c>
      <c r="I767" t="e">
        <f>VLOOKUP(B767,'Location Data'!$C$5:$G$1004,4,FALSE)</f>
        <v>#N/A</v>
      </c>
      <c r="J767" t="e">
        <f>VLOOKUP(B767,'Location Data'!$C$5:$G$1004,5,FALSE)</f>
        <v>#N/A</v>
      </c>
      <c r="K767" t="e">
        <f>VLOOKUP(C767,'Location Data'!$C$5:$G$1004,4,FALSE)</f>
        <v>#N/A</v>
      </c>
      <c r="L767" t="e">
        <f>VLOOKUP(C767,'Location Data'!$C$5:$G$1004,5,FALSE)</f>
        <v>#N/A</v>
      </c>
    </row>
    <row r="768" spans="1:12" x14ac:dyDescent="0.2">
      <c r="A768">
        <f>'Shipment Data for Provisioning'!B773</f>
        <v>0</v>
      </c>
      <c r="B768">
        <f>'Shipment Data for Provisioning'!C773</f>
        <v>0</v>
      </c>
      <c r="C768">
        <f>'Shipment Data for Provisioning'!D773</f>
        <v>0</v>
      </c>
      <c r="D768">
        <f>'Shipment Data for Provisioning'!E773</f>
        <v>0</v>
      </c>
      <c r="E768">
        <f>'Shipment Data for Provisioning'!F773</f>
        <v>0</v>
      </c>
      <c r="F768">
        <f>'Shipment Data for Provisioning'!G773</f>
        <v>0</v>
      </c>
      <c r="G768">
        <f>'Shipment Data for Provisioning'!H773</f>
        <v>0</v>
      </c>
      <c r="H768">
        <f>'Shipment Data for Provisioning'!I773</f>
        <v>0</v>
      </c>
      <c r="I768" t="e">
        <f>VLOOKUP(B768,'Location Data'!$C$5:$G$1004,4,FALSE)</f>
        <v>#N/A</v>
      </c>
      <c r="J768" t="e">
        <f>VLOOKUP(B768,'Location Data'!$C$5:$G$1004,5,FALSE)</f>
        <v>#N/A</v>
      </c>
      <c r="K768" t="e">
        <f>VLOOKUP(C768,'Location Data'!$C$5:$G$1004,4,FALSE)</f>
        <v>#N/A</v>
      </c>
      <c r="L768" t="e">
        <f>VLOOKUP(C768,'Location Data'!$C$5:$G$1004,5,FALSE)</f>
        <v>#N/A</v>
      </c>
    </row>
    <row r="769" spans="1:12" x14ac:dyDescent="0.2">
      <c r="A769">
        <f>'Shipment Data for Provisioning'!B774</f>
        <v>0</v>
      </c>
      <c r="B769">
        <f>'Shipment Data for Provisioning'!C774</f>
        <v>0</v>
      </c>
      <c r="C769">
        <f>'Shipment Data for Provisioning'!D774</f>
        <v>0</v>
      </c>
      <c r="D769">
        <f>'Shipment Data for Provisioning'!E774</f>
        <v>0</v>
      </c>
      <c r="E769">
        <f>'Shipment Data for Provisioning'!F774</f>
        <v>0</v>
      </c>
      <c r="F769">
        <f>'Shipment Data for Provisioning'!G774</f>
        <v>0</v>
      </c>
      <c r="G769">
        <f>'Shipment Data for Provisioning'!H774</f>
        <v>0</v>
      </c>
      <c r="H769">
        <f>'Shipment Data for Provisioning'!I774</f>
        <v>0</v>
      </c>
      <c r="I769" t="e">
        <f>VLOOKUP(B769,'Location Data'!$C$5:$G$1004,4,FALSE)</f>
        <v>#N/A</v>
      </c>
      <c r="J769" t="e">
        <f>VLOOKUP(B769,'Location Data'!$C$5:$G$1004,5,FALSE)</f>
        <v>#N/A</v>
      </c>
      <c r="K769" t="e">
        <f>VLOOKUP(C769,'Location Data'!$C$5:$G$1004,4,FALSE)</f>
        <v>#N/A</v>
      </c>
      <c r="L769" t="e">
        <f>VLOOKUP(C769,'Location Data'!$C$5:$G$1004,5,FALSE)</f>
        <v>#N/A</v>
      </c>
    </row>
    <row r="770" spans="1:12" x14ac:dyDescent="0.2">
      <c r="A770">
        <f>'Shipment Data for Provisioning'!B775</f>
        <v>0</v>
      </c>
      <c r="B770">
        <f>'Shipment Data for Provisioning'!C775</f>
        <v>0</v>
      </c>
      <c r="C770">
        <f>'Shipment Data for Provisioning'!D775</f>
        <v>0</v>
      </c>
      <c r="D770">
        <f>'Shipment Data for Provisioning'!E775</f>
        <v>0</v>
      </c>
      <c r="E770">
        <f>'Shipment Data for Provisioning'!F775</f>
        <v>0</v>
      </c>
      <c r="F770">
        <f>'Shipment Data for Provisioning'!G775</f>
        <v>0</v>
      </c>
      <c r="G770">
        <f>'Shipment Data for Provisioning'!H775</f>
        <v>0</v>
      </c>
      <c r="H770">
        <f>'Shipment Data for Provisioning'!I775</f>
        <v>0</v>
      </c>
      <c r="I770" t="e">
        <f>VLOOKUP(B770,'Location Data'!$C$5:$G$1004,4,FALSE)</f>
        <v>#N/A</v>
      </c>
      <c r="J770" t="e">
        <f>VLOOKUP(B770,'Location Data'!$C$5:$G$1004,5,FALSE)</f>
        <v>#N/A</v>
      </c>
      <c r="K770" t="e">
        <f>VLOOKUP(C770,'Location Data'!$C$5:$G$1004,4,FALSE)</f>
        <v>#N/A</v>
      </c>
      <c r="L770" t="e">
        <f>VLOOKUP(C770,'Location Data'!$C$5:$G$1004,5,FALSE)</f>
        <v>#N/A</v>
      </c>
    </row>
    <row r="771" spans="1:12" x14ac:dyDescent="0.2">
      <c r="A771">
        <f>'Shipment Data for Provisioning'!B776</f>
        <v>0</v>
      </c>
      <c r="B771">
        <f>'Shipment Data for Provisioning'!C776</f>
        <v>0</v>
      </c>
      <c r="C771">
        <f>'Shipment Data for Provisioning'!D776</f>
        <v>0</v>
      </c>
      <c r="D771">
        <f>'Shipment Data for Provisioning'!E776</f>
        <v>0</v>
      </c>
      <c r="E771">
        <f>'Shipment Data for Provisioning'!F776</f>
        <v>0</v>
      </c>
      <c r="F771">
        <f>'Shipment Data for Provisioning'!G776</f>
        <v>0</v>
      </c>
      <c r="G771">
        <f>'Shipment Data for Provisioning'!H776</f>
        <v>0</v>
      </c>
      <c r="H771">
        <f>'Shipment Data for Provisioning'!I776</f>
        <v>0</v>
      </c>
      <c r="I771" t="e">
        <f>VLOOKUP(B771,'Location Data'!$C$5:$G$1004,4,FALSE)</f>
        <v>#N/A</v>
      </c>
      <c r="J771" t="e">
        <f>VLOOKUP(B771,'Location Data'!$C$5:$G$1004,5,FALSE)</f>
        <v>#N/A</v>
      </c>
      <c r="K771" t="e">
        <f>VLOOKUP(C771,'Location Data'!$C$5:$G$1004,4,FALSE)</f>
        <v>#N/A</v>
      </c>
      <c r="L771" t="e">
        <f>VLOOKUP(C771,'Location Data'!$C$5:$G$1004,5,FALSE)</f>
        <v>#N/A</v>
      </c>
    </row>
    <row r="772" spans="1:12" x14ac:dyDescent="0.2">
      <c r="A772">
        <f>'Shipment Data for Provisioning'!B777</f>
        <v>0</v>
      </c>
      <c r="B772">
        <f>'Shipment Data for Provisioning'!C777</f>
        <v>0</v>
      </c>
      <c r="C772">
        <f>'Shipment Data for Provisioning'!D777</f>
        <v>0</v>
      </c>
      <c r="D772">
        <f>'Shipment Data for Provisioning'!E777</f>
        <v>0</v>
      </c>
      <c r="E772">
        <f>'Shipment Data for Provisioning'!F777</f>
        <v>0</v>
      </c>
      <c r="F772">
        <f>'Shipment Data for Provisioning'!G777</f>
        <v>0</v>
      </c>
      <c r="G772">
        <f>'Shipment Data for Provisioning'!H777</f>
        <v>0</v>
      </c>
      <c r="H772">
        <f>'Shipment Data for Provisioning'!I777</f>
        <v>0</v>
      </c>
      <c r="I772" t="e">
        <f>VLOOKUP(B772,'Location Data'!$C$5:$G$1004,4,FALSE)</f>
        <v>#N/A</v>
      </c>
      <c r="J772" t="e">
        <f>VLOOKUP(B772,'Location Data'!$C$5:$G$1004,5,FALSE)</f>
        <v>#N/A</v>
      </c>
      <c r="K772" t="e">
        <f>VLOOKUP(C772,'Location Data'!$C$5:$G$1004,4,FALSE)</f>
        <v>#N/A</v>
      </c>
      <c r="L772" t="e">
        <f>VLOOKUP(C772,'Location Data'!$C$5:$G$1004,5,FALSE)</f>
        <v>#N/A</v>
      </c>
    </row>
    <row r="773" spans="1:12" x14ac:dyDescent="0.2">
      <c r="A773">
        <f>'Shipment Data for Provisioning'!B778</f>
        <v>0</v>
      </c>
      <c r="B773">
        <f>'Shipment Data for Provisioning'!C778</f>
        <v>0</v>
      </c>
      <c r="C773">
        <f>'Shipment Data for Provisioning'!D778</f>
        <v>0</v>
      </c>
      <c r="D773">
        <f>'Shipment Data for Provisioning'!E778</f>
        <v>0</v>
      </c>
      <c r="E773">
        <f>'Shipment Data for Provisioning'!F778</f>
        <v>0</v>
      </c>
      <c r="F773">
        <f>'Shipment Data for Provisioning'!G778</f>
        <v>0</v>
      </c>
      <c r="G773">
        <f>'Shipment Data for Provisioning'!H778</f>
        <v>0</v>
      </c>
      <c r="H773">
        <f>'Shipment Data for Provisioning'!I778</f>
        <v>0</v>
      </c>
      <c r="I773" t="e">
        <f>VLOOKUP(B773,'Location Data'!$C$5:$G$1004,4,FALSE)</f>
        <v>#N/A</v>
      </c>
      <c r="J773" t="e">
        <f>VLOOKUP(B773,'Location Data'!$C$5:$G$1004,5,FALSE)</f>
        <v>#N/A</v>
      </c>
      <c r="K773" t="e">
        <f>VLOOKUP(C773,'Location Data'!$C$5:$G$1004,4,FALSE)</f>
        <v>#N/A</v>
      </c>
      <c r="L773" t="e">
        <f>VLOOKUP(C773,'Location Data'!$C$5:$G$1004,5,FALSE)</f>
        <v>#N/A</v>
      </c>
    </row>
    <row r="774" spans="1:12" x14ac:dyDescent="0.2">
      <c r="A774">
        <f>'Shipment Data for Provisioning'!B779</f>
        <v>0</v>
      </c>
      <c r="B774">
        <f>'Shipment Data for Provisioning'!C779</f>
        <v>0</v>
      </c>
      <c r="C774">
        <f>'Shipment Data for Provisioning'!D779</f>
        <v>0</v>
      </c>
      <c r="D774">
        <f>'Shipment Data for Provisioning'!E779</f>
        <v>0</v>
      </c>
      <c r="E774">
        <f>'Shipment Data for Provisioning'!F779</f>
        <v>0</v>
      </c>
      <c r="F774">
        <f>'Shipment Data for Provisioning'!G779</f>
        <v>0</v>
      </c>
      <c r="G774">
        <f>'Shipment Data for Provisioning'!H779</f>
        <v>0</v>
      </c>
      <c r="H774">
        <f>'Shipment Data for Provisioning'!I779</f>
        <v>0</v>
      </c>
      <c r="I774" t="e">
        <f>VLOOKUP(B774,'Location Data'!$C$5:$G$1004,4,FALSE)</f>
        <v>#N/A</v>
      </c>
      <c r="J774" t="e">
        <f>VLOOKUP(B774,'Location Data'!$C$5:$G$1004,5,FALSE)</f>
        <v>#N/A</v>
      </c>
      <c r="K774" t="e">
        <f>VLOOKUP(C774,'Location Data'!$C$5:$G$1004,4,FALSE)</f>
        <v>#N/A</v>
      </c>
      <c r="L774" t="e">
        <f>VLOOKUP(C774,'Location Data'!$C$5:$G$1004,5,FALSE)</f>
        <v>#N/A</v>
      </c>
    </row>
    <row r="775" spans="1:12" x14ac:dyDescent="0.2">
      <c r="A775">
        <f>'Shipment Data for Provisioning'!B780</f>
        <v>0</v>
      </c>
      <c r="B775">
        <f>'Shipment Data for Provisioning'!C780</f>
        <v>0</v>
      </c>
      <c r="C775">
        <f>'Shipment Data for Provisioning'!D780</f>
        <v>0</v>
      </c>
      <c r="D775">
        <f>'Shipment Data for Provisioning'!E780</f>
        <v>0</v>
      </c>
      <c r="E775">
        <f>'Shipment Data for Provisioning'!F780</f>
        <v>0</v>
      </c>
      <c r="F775">
        <f>'Shipment Data for Provisioning'!G780</f>
        <v>0</v>
      </c>
      <c r="G775">
        <f>'Shipment Data for Provisioning'!H780</f>
        <v>0</v>
      </c>
      <c r="H775">
        <f>'Shipment Data for Provisioning'!I780</f>
        <v>0</v>
      </c>
      <c r="I775" t="e">
        <f>VLOOKUP(B775,'Location Data'!$C$5:$G$1004,4,FALSE)</f>
        <v>#N/A</v>
      </c>
      <c r="J775" t="e">
        <f>VLOOKUP(B775,'Location Data'!$C$5:$G$1004,5,FALSE)</f>
        <v>#N/A</v>
      </c>
      <c r="K775" t="e">
        <f>VLOOKUP(C775,'Location Data'!$C$5:$G$1004,4,FALSE)</f>
        <v>#N/A</v>
      </c>
      <c r="L775" t="e">
        <f>VLOOKUP(C775,'Location Data'!$C$5:$G$1004,5,FALSE)</f>
        <v>#N/A</v>
      </c>
    </row>
    <row r="776" spans="1:12" x14ac:dyDescent="0.2">
      <c r="A776">
        <f>'Shipment Data for Provisioning'!B781</f>
        <v>0</v>
      </c>
      <c r="B776">
        <f>'Shipment Data for Provisioning'!C781</f>
        <v>0</v>
      </c>
      <c r="C776">
        <f>'Shipment Data for Provisioning'!D781</f>
        <v>0</v>
      </c>
      <c r="D776">
        <f>'Shipment Data for Provisioning'!E781</f>
        <v>0</v>
      </c>
      <c r="E776">
        <f>'Shipment Data for Provisioning'!F781</f>
        <v>0</v>
      </c>
      <c r="F776">
        <f>'Shipment Data for Provisioning'!G781</f>
        <v>0</v>
      </c>
      <c r="G776">
        <f>'Shipment Data for Provisioning'!H781</f>
        <v>0</v>
      </c>
      <c r="H776">
        <f>'Shipment Data for Provisioning'!I781</f>
        <v>0</v>
      </c>
      <c r="I776" t="e">
        <f>VLOOKUP(B776,'Location Data'!$C$5:$G$1004,4,FALSE)</f>
        <v>#N/A</v>
      </c>
      <c r="J776" t="e">
        <f>VLOOKUP(B776,'Location Data'!$C$5:$G$1004,5,FALSE)</f>
        <v>#N/A</v>
      </c>
      <c r="K776" t="e">
        <f>VLOOKUP(C776,'Location Data'!$C$5:$G$1004,4,FALSE)</f>
        <v>#N/A</v>
      </c>
      <c r="L776" t="e">
        <f>VLOOKUP(C776,'Location Data'!$C$5:$G$1004,5,FALSE)</f>
        <v>#N/A</v>
      </c>
    </row>
    <row r="777" spans="1:12" x14ac:dyDescent="0.2">
      <c r="A777">
        <f>'Shipment Data for Provisioning'!B782</f>
        <v>0</v>
      </c>
      <c r="B777">
        <f>'Shipment Data for Provisioning'!C782</f>
        <v>0</v>
      </c>
      <c r="C777">
        <f>'Shipment Data for Provisioning'!D782</f>
        <v>0</v>
      </c>
      <c r="D777">
        <f>'Shipment Data for Provisioning'!E782</f>
        <v>0</v>
      </c>
      <c r="E777">
        <f>'Shipment Data for Provisioning'!F782</f>
        <v>0</v>
      </c>
      <c r="F777">
        <f>'Shipment Data for Provisioning'!G782</f>
        <v>0</v>
      </c>
      <c r="G777">
        <f>'Shipment Data for Provisioning'!H782</f>
        <v>0</v>
      </c>
      <c r="H777">
        <f>'Shipment Data for Provisioning'!I782</f>
        <v>0</v>
      </c>
      <c r="I777" t="e">
        <f>VLOOKUP(B777,'Location Data'!$C$5:$G$1004,4,FALSE)</f>
        <v>#N/A</v>
      </c>
      <c r="J777" t="e">
        <f>VLOOKUP(B777,'Location Data'!$C$5:$G$1004,5,FALSE)</f>
        <v>#N/A</v>
      </c>
      <c r="K777" t="e">
        <f>VLOOKUP(C777,'Location Data'!$C$5:$G$1004,4,FALSE)</f>
        <v>#N/A</v>
      </c>
      <c r="L777" t="e">
        <f>VLOOKUP(C777,'Location Data'!$C$5:$G$1004,5,FALSE)</f>
        <v>#N/A</v>
      </c>
    </row>
    <row r="778" spans="1:12" x14ac:dyDescent="0.2">
      <c r="A778">
        <f>'Shipment Data for Provisioning'!B783</f>
        <v>0</v>
      </c>
      <c r="B778">
        <f>'Shipment Data for Provisioning'!C783</f>
        <v>0</v>
      </c>
      <c r="C778">
        <f>'Shipment Data for Provisioning'!D783</f>
        <v>0</v>
      </c>
      <c r="D778">
        <f>'Shipment Data for Provisioning'!E783</f>
        <v>0</v>
      </c>
      <c r="E778">
        <f>'Shipment Data for Provisioning'!F783</f>
        <v>0</v>
      </c>
      <c r="F778">
        <f>'Shipment Data for Provisioning'!G783</f>
        <v>0</v>
      </c>
      <c r="G778">
        <f>'Shipment Data for Provisioning'!H783</f>
        <v>0</v>
      </c>
      <c r="H778">
        <f>'Shipment Data for Provisioning'!I783</f>
        <v>0</v>
      </c>
      <c r="I778" t="e">
        <f>VLOOKUP(B778,'Location Data'!$C$5:$G$1004,4,FALSE)</f>
        <v>#N/A</v>
      </c>
      <c r="J778" t="e">
        <f>VLOOKUP(B778,'Location Data'!$C$5:$G$1004,5,FALSE)</f>
        <v>#N/A</v>
      </c>
      <c r="K778" t="e">
        <f>VLOOKUP(C778,'Location Data'!$C$5:$G$1004,4,FALSE)</f>
        <v>#N/A</v>
      </c>
      <c r="L778" t="e">
        <f>VLOOKUP(C778,'Location Data'!$C$5:$G$1004,5,FALSE)</f>
        <v>#N/A</v>
      </c>
    </row>
    <row r="779" spans="1:12" x14ac:dyDescent="0.2">
      <c r="A779">
        <f>'Shipment Data for Provisioning'!B784</f>
        <v>0</v>
      </c>
      <c r="B779">
        <f>'Shipment Data for Provisioning'!C784</f>
        <v>0</v>
      </c>
      <c r="C779">
        <f>'Shipment Data for Provisioning'!D784</f>
        <v>0</v>
      </c>
      <c r="D779">
        <f>'Shipment Data for Provisioning'!E784</f>
        <v>0</v>
      </c>
      <c r="E779">
        <f>'Shipment Data for Provisioning'!F784</f>
        <v>0</v>
      </c>
      <c r="F779">
        <f>'Shipment Data for Provisioning'!G784</f>
        <v>0</v>
      </c>
      <c r="G779">
        <f>'Shipment Data for Provisioning'!H784</f>
        <v>0</v>
      </c>
      <c r="H779">
        <f>'Shipment Data for Provisioning'!I784</f>
        <v>0</v>
      </c>
      <c r="I779" t="e">
        <f>VLOOKUP(B779,'Location Data'!$C$5:$G$1004,4,FALSE)</f>
        <v>#N/A</v>
      </c>
      <c r="J779" t="e">
        <f>VLOOKUP(B779,'Location Data'!$C$5:$G$1004,5,FALSE)</f>
        <v>#N/A</v>
      </c>
      <c r="K779" t="e">
        <f>VLOOKUP(C779,'Location Data'!$C$5:$G$1004,4,FALSE)</f>
        <v>#N/A</v>
      </c>
      <c r="L779" t="e">
        <f>VLOOKUP(C779,'Location Data'!$C$5:$G$1004,5,FALSE)</f>
        <v>#N/A</v>
      </c>
    </row>
    <row r="780" spans="1:12" x14ac:dyDescent="0.2">
      <c r="A780">
        <f>'Shipment Data for Provisioning'!B785</f>
        <v>0</v>
      </c>
      <c r="B780">
        <f>'Shipment Data for Provisioning'!C785</f>
        <v>0</v>
      </c>
      <c r="C780">
        <f>'Shipment Data for Provisioning'!D785</f>
        <v>0</v>
      </c>
      <c r="D780">
        <f>'Shipment Data for Provisioning'!E785</f>
        <v>0</v>
      </c>
      <c r="E780">
        <f>'Shipment Data for Provisioning'!F785</f>
        <v>0</v>
      </c>
      <c r="F780">
        <f>'Shipment Data for Provisioning'!G785</f>
        <v>0</v>
      </c>
      <c r="G780">
        <f>'Shipment Data for Provisioning'!H785</f>
        <v>0</v>
      </c>
      <c r="H780">
        <f>'Shipment Data for Provisioning'!I785</f>
        <v>0</v>
      </c>
      <c r="I780" t="e">
        <f>VLOOKUP(B780,'Location Data'!$C$5:$G$1004,4,FALSE)</f>
        <v>#N/A</v>
      </c>
      <c r="J780" t="e">
        <f>VLOOKUP(B780,'Location Data'!$C$5:$G$1004,5,FALSE)</f>
        <v>#N/A</v>
      </c>
      <c r="K780" t="e">
        <f>VLOOKUP(C780,'Location Data'!$C$5:$G$1004,4,FALSE)</f>
        <v>#N/A</v>
      </c>
      <c r="L780" t="e">
        <f>VLOOKUP(C780,'Location Data'!$C$5:$G$1004,5,FALSE)</f>
        <v>#N/A</v>
      </c>
    </row>
    <row r="781" spans="1:12" x14ac:dyDescent="0.2">
      <c r="A781">
        <f>'Shipment Data for Provisioning'!B786</f>
        <v>0</v>
      </c>
      <c r="B781">
        <f>'Shipment Data for Provisioning'!C786</f>
        <v>0</v>
      </c>
      <c r="C781">
        <f>'Shipment Data for Provisioning'!D786</f>
        <v>0</v>
      </c>
      <c r="D781">
        <f>'Shipment Data for Provisioning'!E786</f>
        <v>0</v>
      </c>
      <c r="E781">
        <f>'Shipment Data for Provisioning'!F786</f>
        <v>0</v>
      </c>
      <c r="F781">
        <f>'Shipment Data for Provisioning'!G786</f>
        <v>0</v>
      </c>
      <c r="G781">
        <f>'Shipment Data for Provisioning'!H786</f>
        <v>0</v>
      </c>
      <c r="H781">
        <f>'Shipment Data for Provisioning'!I786</f>
        <v>0</v>
      </c>
      <c r="I781" t="e">
        <f>VLOOKUP(B781,'Location Data'!$C$5:$G$1004,4,FALSE)</f>
        <v>#N/A</v>
      </c>
      <c r="J781" t="e">
        <f>VLOOKUP(B781,'Location Data'!$C$5:$G$1004,5,FALSE)</f>
        <v>#N/A</v>
      </c>
      <c r="K781" t="e">
        <f>VLOOKUP(C781,'Location Data'!$C$5:$G$1004,4,FALSE)</f>
        <v>#N/A</v>
      </c>
      <c r="L781" t="e">
        <f>VLOOKUP(C781,'Location Data'!$C$5:$G$1004,5,FALSE)</f>
        <v>#N/A</v>
      </c>
    </row>
    <row r="782" spans="1:12" x14ac:dyDescent="0.2">
      <c r="A782">
        <f>'Shipment Data for Provisioning'!B787</f>
        <v>0</v>
      </c>
      <c r="B782">
        <f>'Shipment Data for Provisioning'!C787</f>
        <v>0</v>
      </c>
      <c r="C782">
        <f>'Shipment Data for Provisioning'!D787</f>
        <v>0</v>
      </c>
      <c r="D782">
        <f>'Shipment Data for Provisioning'!E787</f>
        <v>0</v>
      </c>
      <c r="E782">
        <f>'Shipment Data for Provisioning'!F787</f>
        <v>0</v>
      </c>
      <c r="F782">
        <f>'Shipment Data for Provisioning'!G787</f>
        <v>0</v>
      </c>
      <c r="G782">
        <f>'Shipment Data for Provisioning'!H787</f>
        <v>0</v>
      </c>
      <c r="H782">
        <f>'Shipment Data for Provisioning'!I787</f>
        <v>0</v>
      </c>
      <c r="I782" t="e">
        <f>VLOOKUP(B782,'Location Data'!$C$5:$G$1004,4,FALSE)</f>
        <v>#N/A</v>
      </c>
      <c r="J782" t="e">
        <f>VLOOKUP(B782,'Location Data'!$C$5:$G$1004,5,FALSE)</f>
        <v>#N/A</v>
      </c>
      <c r="K782" t="e">
        <f>VLOOKUP(C782,'Location Data'!$C$5:$G$1004,4,FALSE)</f>
        <v>#N/A</v>
      </c>
      <c r="L782" t="e">
        <f>VLOOKUP(C782,'Location Data'!$C$5:$G$1004,5,FALSE)</f>
        <v>#N/A</v>
      </c>
    </row>
    <row r="783" spans="1:12" x14ac:dyDescent="0.2">
      <c r="A783">
        <f>'Shipment Data for Provisioning'!B788</f>
        <v>0</v>
      </c>
      <c r="B783">
        <f>'Shipment Data for Provisioning'!C788</f>
        <v>0</v>
      </c>
      <c r="C783">
        <f>'Shipment Data for Provisioning'!D788</f>
        <v>0</v>
      </c>
      <c r="D783">
        <f>'Shipment Data for Provisioning'!E788</f>
        <v>0</v>
      </c>
      <c r="E783">
        <f>'Shipment Data for Provisioning'!F788</f>
        <v>0</v>
      </c>
      <c r="F783">
        <f>'Shipment Data for Provisioning'!G788</f>
        <v>0</v>
      </c>
      <c r="G783">
        <f>'Shipment Data for Provisioning'!H788</f>
        <v>0</v>
      </c>
      <c r="H783">
        <f>'Shipment Data for Provisioning'!I788</f>
        <v>0</v>
      </c>
      <c r="I783" t="e">
        <f>VLOOKUP(B783,'Location Data'!$C$5:$G$1004,4,FALSE)</f>
        <v>#N/A</v>
      </c>
      <c r="J783" t="e">
        <f>VLOOKUP(B783,'Location Data'!$C$5:$G$1004,5,FALSE)</f>
        <v>#N/A</v>
      </c>
      <c r="K783" t="e">
        <f>VLOOKUP(C783,'Location Data'!$C$5:$G$1004,4,FALSE)</f>
        <v>#N/A</v>
      </c>
      <c r="L783" t="e">
        <f>VLOOKUP(C783,'Location Data'!$C$5:$G$1004,5,FALSE)</f>
        <v>#N/A</v>
      </c>
    </row>
    <row r="784" spans="1:12" x14ac:dyDescent="0.2">
      <c r="A784">
        <f>'Shipment Data for Provisioning'!B789</f>
        <v>0</v>
      </c>
      <c r="B784">
        <f>'Shipment Data for Provisioning'!C789</f>
        <v>0</v>
      </c>
      <c r="C784">
        <f>'Shipment Data for Provisioning'!D789</f>
        <v>0</v>
      </c>
      <c r="D784">
        <f>'Shipment Data for Provisioning'!E789</f>
        <v>0</v>
      </c>
      <c r="E784">
        <f>'Shipment Data for Provisioning'!F789</f>
        <v>0</v>
      </c>
      <c r="F784">
        <f>'Shipment Data for Provisioning'!G789</f>
        <v>0</v>
      </c>
      <c r="G784">
        <f>'Shipment Data for Provisioning'!H789</f>
        <v>0</v>
      </c>
      <c r="H784">
        <f>'Shipment Data for Provisioning'!I789</f>
        <v>0</v>
      </c>
      <c r="I784" t="e">
        <f>VLOOKUP(B784,'Location Data'!$C$5:$G$1004,4,FALSE)</f>
        <v>#N/A</v>
      </c>
      <c r="J784" t="e">
        <f>VLOOKUP(B784,'Location Data'!$C$5:$G$1004,5,FALSE)</f>
        <v>#N/A</v>
      </c>
      <c r="K784" t="e">
        <f>VLOOKUP(C784,'Location Data'!$C$5:$G$1004,4,FALSE)</f>
        <v>#N/A</v>
      </c>
      <c r="L784" t="e">
        <f>VLOOKUP(C784,'Location Data'!$C$5:$G$1004,5,FALSE)</f>
        <v>#N/A</v>
      </c>
    </row>
    <row r="785" spans="1:12" x14ac:dyDescent="0.2">
      <c r="A785">
        <f>'Shipment Data for Provisioning'!B790</f>
        <v>0</v>
      </c>
      <c r="B785">
        <f>'Shipment Data for Provisioning'!C790</f>
        <v>0</v>
      </c>
      <c r="C785">
        <f>'Shipment Data for Provisioning'!D790</f>
        <v>0</v>
      </c>
      <c r="D785">
        <f>'Shipment Data for Provisioning'!E790</f>
        <v>0</v>
      </c>
      <c r="E785">
        <f>'Shipment Data for Provisioning'!F790</f>
        <v>0</v>
      </c>
      <c r="F785">
        <f>'Shipment Data for Provisioning'!G790</f>
        <v>0</v>
      </c>
      <c r="G785">
        <f>'Shipment Data for Provisioning'!H790</f>
        <v>0</v>
      </c>
      <c r="H785">
        <f>'Shipment Data for Provisioning'!I790</f>
        <v>0</v>
      </c>
      <c r="I785" t="e">
        <f>VLOOKUP(B785,'Location Data'!$C$5:$G$1004,4,FALSE)</f>
        <v>#N/A</v>
      </c>
      <c r="J785" t="e">
        <f>VLOOKUP(B785,'Location Data'!$C$5:$G$1004,5,FALSE)</f>
        <v>#N/A</v>
      </c>
      <c r="K785" t="e">
        <f>VLOOKUP(C785,'Location Data'!$C$5:$G$1004,4,FALSE)</f>
        <v>#N/A</v>
      </c>
      <c r="L785" t="e">
        <f>VLOOKUP(C785,'Location Data'!$C$5:$G$1004,5,FALSE)</f>
        <v>#N/A</v>
      </c>
    </row>
    <row r="786" spans="1:12" x14ac:dyDescent="0.2">
      <c r="A786">
        <f>'Shipment Data for Provisioning'!B791</f>
        <v>0</v>
      </c>
      <c r="B786">
        <f>'Shipment Data for Provisioning'!C791</f>
        <v>0</v>
      </c>
      <c r="C786">
        <f>'Shipment Data for Provisioning'!D791</f>
        <v>0</v>
      </c>
      <c r="D786">
        <f>'Shipment Data for Provisioning'!E791</f>
        <v>0</v>
      </c>
      <c r="E786">
        <f>'Shipment Data for Provisioning'!F791</f>
        <v>0</v>
      </c>
      <c r="F786">
        <f>'Shipment Data for Provisioning'!G791</f>
        <v>0</v>
      </c>
      <c r="G786">
        <f>'Shipment Data for Provisioning'!H791</f>
        <v>0</v>
      </c>
      <c r="H786">
        <f>'Shipment Data for Provisioning'!I791</f>
        <v>0</v>
      </c>
      <c r="I786" t="e">
        <f>VLOOKUP(B786,'Location Data'!$C$5:$G$1004,4,FALSE)</f>
        <v>#N/A</v>
      </c>
      <c r="J786" t="e">
        <f>VLOOKUP(B786,'Location Data'!$C$5:$G$1004,5,FALSE)</f>
        <v>#N/A</v>
      </c>
      <c r="K786" t="e">
        <f>VLOOKUP(C786,'Location Data'!$C$5:$G$1004,4,FALSE)</f>
        <v>#N/A</v>
      </c>
      <c r="L786" t="e">
        <f>VLOOKUP(C786,'Location Data'!$C$5:$G$1004,5,FALSE)</f>
        <v>#N/A</v>
      </c>
    </row>
    <row r="787" spans="1:12" x14ac:dyDescent="0.2">
      <c r="A787">
        <f>'Shipment Data for Provisioning'!B792</f>
        <v>0</v>
      </c>
      <c r="B787">
        <f>'Shipment Data for Provisioning'!C792</f>
        <v>0</v>
      </c>
      <c r="C787">
        <f>'Shipment Data for Provisioning'!D792</f>
        <v>0</v>
      </c>
      <c r="D787">
        <f>'Shipment Data for Provisioning'!E792</f>
        <v>0</v>
      </c>
      <c r="E787">
        <f>'Shipment Data for Provisioning'!F792</f>
        <v>0</v>
      </c>
      <c r="F787">
        <f>'Shipment Data for Provisioning'!G792</f>
        <v>0</v>
      </c>
      <c r="G787">
        <f>'Shipment Data for Provisioning'!H792</f>
        <v>0</v>
      </c>
      <c r="H787">
        <f>'Shipment Data for Provisioning'!I792</f>
        <v>0</v>
      </c>
      <c r="I787" t="e">
        <f>VLOOKUP(B787,'Location Data'!$C$5:$G$1004,4,FALSE)</f>
        <v>#N/A</v>
      </c>
      <c r="J787" t="e">
        <f>VLOOKUP(B787,'Location Data'!$C$5:$G$1004,5,FALSE)</f>
        <v>#N/A</v>
      </c>
      <c r="K787" t="e">
        <f>VLOOKUP(C787,'Location Data'!$C$5:$G$1004,4,FALSE)</f>
        <v>#N/A</v>
      </c>
      <c r="L787" t="e">
        <f>VLOOKUP(C787,'Location Data'!$C$5:$G$1004,5,FALSE)</f>
        <v>#N/A</v>
      </c>
    </row>
    <row r="788" spans="1:12" x14ac:dyDescent="0.2">
      <c r="A788">
        <f>'Shipment Data for Provisioning'!B793</f>
        <v>0</v>
      </c>
      <c r="B788">
        <f>'Shipment Data for Provisioning'!C793</f>
        <v>0</v>
      </c>
      <c r="C788">
        <f>'Shipment Data for Provisioning'!D793</f>
        <v>0</v>
      </c>
      <c r="D788">
        <f>'Shipment Data for Provisioning'!E793</f>
        <v>0</v>
      </c>
      <c r="E788">
        <f>'Shipment Data for Provisioning'!F793</f>
        <v>0</v>
      </c>
      <c r="F788">
        <f>'Shipment Data for Provisioning'!G793</f>
        <v>0</v>
      </c>
      <c r="G788">
        <f>'Shipment Data for Provisioning'!H793</f>
        <v>0</v>
      </c>
      <c r="H788">
        <f>'Shipment Data for Provisioning'!I793</f>
        <v>0</v>
      </c>
      <c r="I788" t="e">
        <f>VLOOKUP(B788,'Location Data'!$C$5:$G$1004,4,FALSE)</f>
        <v>#N/A</v>
      </c>
      <c r="J788" t="e">
        <f>VLOOKUP(B788,'Location Data'!$C$5:$G$1004,5,FALSE)</f>
        <v>#N/A</v>
      </c>
      <c r="K788" t="e">
        <f>VLOOKUP(C788,'Location Data'!$C$5:$G$1004,4,FALSE)</f>
        <v>#N/A</v>
      </c>
      <c r="L788" t="e">
        <f>VLOOKUP(C788,'Location Data'!$C$5:$G$1004,5,FALSE)</f>
        <v>#N/A</v>
      </c>
    </row>
    <row r="789" spans="1:12" x14ac:dyDescent="0.2">
      <c r="A789">
        <f>'Shipment Data for Provisioning'!B794</f>
        <v>0</v>
      </c>
      <c r="B789">
        <f>'Shipment Data for Provisioning'!C794</f>
        <v>0</v>
      </c>
      <c r="C789">
        <f>'Shipment Data for Provisioning'!D794</f>
        <v>0</v>
      </c>
      <c r="D789">
        <f>'Shipment Data for Provisioning'!E794</f>
        <v>0</v>
      </c>
      <c r="E789">
        <f>'Shipment Data for Provisioning'!F794</f>
        <v>0</v>
      </c>
      <c r="F789">
        <f>'Shipment Data for Provisioning'!G794</f>
        <v>0</v>
      </c>
      <c r="G789">
        <f>'Shipment Data for Provisioning'!H794</f>
        <v>0</v>
      </c>
      <c r="H789">
        <f>'Shipment Data for Provisioning'!I794</f>
        <v>0</v>
      </c>
      <c r="I789" t="e">
        <f>VLOOKUP(B789,'Location Data'!$C$5:$G$1004,4,FALSE)</f>
        <v>#N/A</v>
      </c>
      <c r="J789" t="e">
        <f>VLOOKUP(B789,'Location Data'!$C$5:$G$1004,5,FALSE)</f>
        <v>#N/A</v>
      </c>
      <c r="K789" t="e">
        <f>VLOOKUP(C789,'Location Data'!$C$5:$G$1004,4,FALSE)</f>
        <v>#N/A</v>
      </c>
      <c r="L789" t="e">
        <f>VLOOKUP(C789,'Location Data'!$C$5:$G$1004,5,FALSE)</f>
        <v>#N/A</v>
      </c>
    </row>
    <row r="790" spans="1:12" x14ac:dyDescent="0.2">
      <c r="A790">
        <f>'Shipment Data for Provisioning'!B795</f>
        <v>0</v>
      </c>
      <c r="B790">
        <f>'Shipment Data for Provisioning'!C795</f>
        <v>0</v>
      </c>
      <c r="C790">
        <f>'Shipment Data for Provisioning'!D795</f>
        <v>0</v>
      </c>
      <c r="D790">
        <f>'Shipment Data for Provisioning'!E795</f>
        <v>0</v>
      </c>
      <c r="E790">
        <f>'Shipment Data for Provisioning'!F795</f>
        <v>0</v>
      </c>
      <c r="F790">
        <f>'Shipment Data for Provisioning'!G795</f>
        <v>0</v>
      </c>
      <c r="G790">
        <f>'Shipment Data for Provisioning'!H795</f>
        <v>0</v>
      </c>
      <c r="H790">
        <f>'Shipment Data for Provisioning'!I795</f>
        <v>0</v>
      </c>
      <c r="I790" t="e">
        <f>VLOOKUP(B790,'Location Data'!$C$5:$G$1004,4,FALSE)</f>
        <v>#N/A</v>
      </c>
      <c r="J790" t="e">
        <f>VLOOKUP(B790,'Location Data'!$C$5:$G$1004,5,FALSE)</f>
        <v>#N/A</v>
      </c>
      <c r="K790" t="e">
        <f>VLOOKUP(C790,'Location Data'!$C$5:$G$1004,4,FALSE)</f>
        <v>#N/A</v>
      </c>
      <c r="L790" t="e">
        <f>VLOOKUP(C790,'Location Data'!$C$5:$G$1004,5,FALSE)</f>
        <v>#N/A</v>
      </c>
    </row>
    <row r="791" spans="1:12" x14ac:dyDescent="0.2">
      <c r="A791">
        <f>'Shipment Data for Provisioning'!B796</f>
        <v>0</v>
      </c>
      <c r="B791">
        <f>'Shipment Data for Provisioning'!C796</f>
        <v>0</v>
      </c>
      <c r="C791">
        <f>'Shipment Data for Provisioning'!D796</f>
        <v>0</v>
      </c>
      <c r="D791">
        <f>'Shipment Data for Provisioning'!E796</f>
        <v>0</v>
      </c>
      <c r="E791">
        <f>'Shipment Data for Provisioning'!F796</f>
        <v>0</v>
      </c>
      <c r="F791">
        <f>'Shipment Data for Provisioning'!G796</f>
        <v>0</v>
      </c>
      <c r="G791">
        <f>'Shipment Data for Provisioning'!H796</f>
        <v>0</v>
      </c>
      <c r="H791">
        <f>'Shipment Data for Provisioning'!I796</f>
        <v>0</v>
      </c>
      <c r="I791" t="e">
        <f>VLOOKUP(B791,'Location Data'!$C$5:$G$1004,4,FALSE)</f>
        <v>#N/A</v>
      </c>
      <c r="J791" t="e">
        <f>VLOOKUP(B791,'Location Data'!$C$5:$G$1004,5,FALSE)</f>
        <v>#N/A</v>
      </c>
      <c r="K791" t="e">
        <f>VLOOKUP(C791,'Location Data'!$C$5:$G$1004,4,FALSE)</f>
        <v>#N/A</v>
      </c>
      <c r="L791" t="e">
        <f>VLOOKUP(C791,'Location Data'!$C$5:$G$1004,5,FALSE)</f>
        <v>#N/A</v>
      </c>
    </row>
    <row r="792" spans="1:12" x14ac:dyDescent="0.2">
      <c r="A792">
        <f>'Shipment Data for Provisioning'!B797</f>
        <v>0</v>
      </c>
      <c r="B792">
        <f>'Shipment Data for Provisioning'!C797</f>
        <v>0</v>
      </c>
      <c r="C792">
        <f>'Shipment Data for Provisioning'!D797</f>
        <v>0</v>
      </c>
      <c r="D792">
        <f>'Shipment Data for Provisioning'!E797</f>
        <v>0</v>
      </c>
      <c r="E792">
        <f>'Shipment Data for Provisioning'!F797</f>
        <v>0</v>
      </c>
      <c r="F792">
        <f>'Shipment Data for Provisioning'!G797</f>
        <v>0</v>
      </c>
      <c r="G792">
        <f>'Shipment Data for Provisioning'!H797</f>
        <v>0</v>
      </c>
      <c r="H792">
        <f>'Shipment Data for Provisioning'!I797</f>
        <v>0</v>
      </c>
      <c r="I792" t="e">
        <f>VLOOKUP(B792,'Location Data'!$C$5:$G$1004,4,FALSE)</f>
        <v>#N/A</v>
      </c>
      <c r="J792" t="e">
        <f>VLOOKUP(B792,'Location Data'!$C$5:$G$1004,5,FALSE)</f>
        <v>#N/A</v>
      </c>
      <c r="K792" t="e">
        <f>VLOOKUP(C792,'Location Data'!$C$5:$G$1004,4,FALSE)</f>
        <v>#N/A</v>
      </c>
      <c r="L792" t="e">
        <f>VLOOKUP(C792,'Location Data'!$C$5:$G$1004,5,FALSE)</f>
        <v>#N/A</v>
      </c>
    </row>
    <row r="793" spans="1:12" x14ac:dyDescent="0.2">
      <c r="A793">
        <f>'Shipment Data for Provisioning'!B798</f>
        <v>0</v>
      </c>
      <c r="B793">
        <f>'Shipment Data for Provisioning'!C798</f>
        <v>0</v>
      </c>
      <c r="C793">
        <f>'Shipment Data for Provisioning'!D798</f>
        <v>0</v>
      </c>
      <c r="D793">
        <f>'Shipment Data for Provisioning'!E798</f>
        <v>0</v>
      </c>
      <c r="E793">
        <f>'Shipment Data for Provisioning'!F798</f>
        <v>0</v>
      </c>
      <c r="F793">
        <f>'Shipment Data for Provisioning'!G798</f>
        <v>0</v>
      </c>
      <c r="G793">
        <f>'Shipment Data for Provisioning'!H798</f>
        <v>0</v>
      </c>
      <c r="H793">
        <f>'Shipment Data for Provisioning'!I798</f>
        <v>0</v>
      </c>
      <c r="I793" t="e">
        <f>VLOOKUP(B793,'Location Data'!$C$5:$G$1004,4,FALSE)</f>
        <v>#N/A</v>
      </c>
      <c r="J793" t="e">
        <f>VLOOKUP(B793,'Location Data'!$C$5:$G$1004,5,FALSE)</f>
        <v>#N/A</v>
      </c>
      <c r="K793" t="e">
        <f>VLOOKUP(C793,'Location Data'!$C$5:$G$1004,4,FALSE)</f>
        <v>#N/A</v>
      </c>
      <c r="L793" t="e">
        <f>VLOOKUP(C793,'Location Data'!$C$5:$G$1004,5,FALSE)</f>
        <v>#N/A</v>
      </c>
    </row>
    <row r="794" spans="1:12" x14ac:dyDescent="0.2">
      <c r="A794">
        <f>'Shipment Data for Provisioning'!B799</f>
        <v>0</v>
      </c>
      <c r="B794">
        <f>'Shipment Data for Provisioning'!C799</f>
        <v>0</v>
      </c>
      <c r="C794">
        <f>'Shipment Data for Provisioning'!D799</f>
        <v>0</v>
      </c>
      <c r="D794">
        <f>'Shipment Data for Provisioning'!E799</f>
        <v>0</v>
      </c>
      <c r="E794">
        <f>'Shipment Data for Provisioning'!F799</f>
        <v>0</v>
      </c>
      <c r="F794">
        <f>'Shipment Data for Provisioning'!G799</f>
        <v>0</v>
      </c>
      <c r="G794">
        <f>'Shipment Data for Provisioning'!H799</f>
        <v>0</v>
      </c>
      <c r="H794">
        <f>'Shipment Data for Provisioning'!I799</f>
        <v>0</v>
      </c>
      <c r="I794" t="e">
        <f>VLOOKUP(B794,'Location Data'!$C$5:$G$1004,4,FALSE)</f>
        <v>#N/A</v>
      </c>
      <c r="J794" t="e">
        <f>VLOOKUP(B794,'Location Data'!$C$5:$G$1004,5,FALSE)</f>
        <v>#N/A</v>
      </c>
      <c r="K794" t="e">
        <f>VLOOKUP(C794,'Location Data'!$C$5:$G$1004,4,FALSE)</f>
        <v>#N/A</v>
      </c>
      <c r="L794" t="e">
        <f>VLOOKUP(C794,'Location Data'!$C$5:$G$1004,5,FALSE)</f>
        <v>#N/A</v>
      </c>
    </row>
    <row r="795" spans="1:12" x14ac:dyDescent="0.2">
      <c r="A795">
        <f>'Shipment Data for Provisioning'!B800</f>
        <v>0</v>
      </c>
      <c r="B795">
        <f>'Shipment Data for Provisioning'!C800</f>
        <v>0</v>
      </c>
      <c r="C795">
        <f>'Shipment Data for Provisioning'!D800</f>
        <v>0</v>
      </c>
      <c r="D795">
        <f>'Shipment Data for Provisioning'!E800</f>
        <v>0</v>
      </c>
      <c r="E795">
        <f>'Shipment Data for Provisioning'!F800</f>
        <v>0</v>
      </c>
      <c r="F795">
        <f>'Shipment Data for Provisioning'!G800</f>
        <v>0</v>
      </c>
      <c r="G795">
        <f>'Shipment Data for Provisioning'!H800</f>
        <v>0</v>
      </c>
      <c r="H795">
        <f>'Shipment Data for Provisioning'!I800</f>
        <v>0</v>
      </c>
      <c r="I795" t="e">
        <f>VLOOKUP(B795,'Location Data'!$C$5:$G$1004,4,FALSE)</f>
        <v>#N/A</v>
      </c>
      <c r="J795" t="e">
        <f>VLOOKUP(B795,'Location Data'!$C$5:$G$1004,5,FALSE)</f>
        <v>#N/A</v>
      </c>
      <c r="K795" t="e">
        <f>VLOOKUP(C795,'Location Data'!$C$5:$G$1004,4,FALSE)</f>
        <v>#N/A</v>
      </c>
      <c r="L795" t="e">
        <f>VLOOKUP(C795,'Location Data'!$C$5:$G$1004,5,FALSE)</f>
        <v>#N/A</v>
      </c>
    </row>
    <row r="796" spans="1:12" x14ac:dyDescent="0.2">
      <c r="A796">
        <f>'Shipment Data for Provisioning'!B801</f>
        <v>0</v>
      </c>
      <c r="B796">
        <f>'Shipment Data for Provisioning'!C801</f>
        <v>0</v>
      </c>
      <c r="C796">
        <f>'Shipment Data for Provisioning'!D801</f>
        <v>0</v>
      </c>
      <c r="D796">
        <f>'Shipment Data for Provisioning'!E801</f>
        <v>0</v>
      </c>
      <c r="E796">
        <f>'Shipment Data for Provisioning'!F801</f>
        <v>0</v>
      </c>
      <c r="F796">
        <f>'Shipment Data for Provisioning'!G801</f>
        <v>0</v>
      </c>
      <c r="G796">
        <f>'Shipment Data for Provisioning'!H801</f>
        <v>0</v>
      </c>
      <c r="H796">
        <f>'Shipment Data for Provisioning'!I801</f>
        <v>0</v>
      </c>
      <c r="I796" t="e">
        <f>VLOOKUP(B796,'Location Data'!$C$5:$G$1004,4,FALSE)</f>
        <v>#N/A</v>
      </c>
      <c r="J796" t="e">
        <f>VLOOKUP(B796,'Location Data'!$C$5:$G$1004,5,FALSE)</f>
        <v>#N/A</v>
      </c>
      <c r="K796" t="e">
        <f>VLOOKUP(C796,'Location Data'!$C$5:$G$1004,4,FALSE)</f>
        <v>#N/A</v>
      </c>
      <c r="L796" t="e">
        <f>VLOOKUP(C796,'Location Data'!$C$5:$G$1004,5,FALSE)</f>
        <v>#N/A</v>
      </c>
    </row>
    <row r="797" spans="1:12" x14ac:dyDescent="0.2">
      <c r="A797">
        <f>'Shipment Data for Provisioning'!B802</f>
        <v>0</v>
      </c>
      <c r="B797">
        <f>'Shipment Data for Provisioning'!C802</f>
        <v>0</v>
      </c>
      <c r="C797">
        <f>'Shipment Data for Provisioning'!D802</f>
        <v>0</v>
      </c>
      <c r="D797">
        <f>'Shipment Data for Provisioning'!E802</f>
        <v>0</v>
      </c>
      <c r="E797">
        <f>'Shipment Data for Provisioning'!F802</f>
        <v>0</v>
      </c>
      <c r="F797">
        <f>'Shipment Data for Provisioning'!G802</f>
        <v>0</v>
      </c>
      <c r="G797">
        <f>'Shipment Data for Provisioning'!H802</f>
        <v>0</v>
      </c>
      <c r="H797">
        <f>'Shipment Data for Provisioning'!I802</f>
        <v>0</v>
      </c>
      <c r="I797" t="e">
        <f>VLOOKUP(B797,'Location Data'!$C$5:$G$1004,4,FALSE)</f>
        <v>#N/A</v>
      </c>
      <c r="J797" t="e">
        <f>VLOOKUP(B797,'Location Data'!$C$5:$G$1004,5,FALSE)</f>
        <v>#N/A</v>
      </c>
      <c r="K797" t="e">
        <f>VLOOKUP(C797,'Location Data'!$C$5:$G$1004,4,FALSE)</f>
        <v>#N/A</v>
      </c>
      <c r="L797" t="e">
        <f>VLOOKUP(C797,'Location Data'!$C$5:$G$1004,5,FALSE)</f>
        <v>#N/A</v>
      </c>
    </row>
    <row r="798" spans="1:12" x14ac:dyDescent="0.2">
      <c r="A798">
        <f>'Shipment Data for Provisioning'!B803</f>
        <v>0</v>
      </c>
      <c r="B798">
        <f>'Shipment Data for Provisioning'!C803</f>
        <v>0</v>
      </c>
      <c r="C798">
        <f>'Shipment Data for Provisioning'!D803</f>
        <v>0</v>
      </c>
      <c r="D798">
        <f>'Shipment Data for Provisioning'!E803</f>
        <v>0</v>
      </c>
      <c r="E798">
        <f>'Shipment Data for Provisioning'!F803</f>
        <v>0</v>
      </c>
      <c r="F798">
        <f>'Shipment Data for Provisioning'!G803</f>
        <v>0</v>
      </c>
      <c r="G798">
        <f>'Shipment Data for Provisioning'!H803</f>
        <v>0</v>
      </c>
      <c r="H798">
        <f>'Shipment Data for Provisioning'!I803</f>
        <v>0</v>
      </c>
      <c r="I798" t="e">
        <f>VLOOKUP(B798,'Location Data'!$C$5:$G$1004,4,FALSE)</f>
        <v>#N/A</v>
      </c>
      <c r="J798" t="e">
        <f>VLOOKUP(B798,'Location Data'!$C$5:$G$1004,5,FALSE)</f>
        <v>#N/A</v>
      </c>
      <c r="K798" t="e">
        <f>VLOOKUP(C798,'Location Data'!$C$5:$G$1004,4,FALSE)</f>
        <v>#N/A</v>
      </c>
      <c r="L798" t="e">
        <f>VLOOKUP(C798,'Location Data'!$C$5:$G$1004,5,FALSE)</f>
        <v>#N/A</v>
      </c>
    </row>
    <row r="799" spans="1:12" x14ac:dyDescent="0.2">
      <c r="A799">
        <f>'Shipment Data for Provisioning'!B804</f>
        <v>0</v>
      </c>
      <c r="B799">
        <f>'Shipment Data for Provisioning'!C804</f>
        <v>0</v>
      </c>
      <c r="C799">
        <f>'Shipment Data for Provisioning'!D804</f>
        <v>0</v>
      </c>
      <c r="D799">
        <f>'Shipment Data for Provisioning'!E804</f>
        <v>0</v>
      </c>
      <c r="E799">
        <f>'Shipment Data for Provisioning'!F804</f>
        <v>0</v>
      </c>
      <c r="F799">
        <f>'Shipment Data for Provisioning'!G804</f>
        <v>0</v>
      </c>
      <c r="G799">
        <f>'Shipment Data for Provisioning'!H804</f>
        <v>0</v>
      </c>
      <c r="H799">
        <f>'Shipment Data for Provisioning'!I804</f>
        <v>0</v>
      </c>
      <c r="I799" t="e">
        <f>VLOOKUP(B799,'Location Data'!$C$5:$G$1004,4,FALSE)</f>
        <v>#N/A</v>
      </c>
      <c r="J799" t="e">
        <f>VLOOKUP(B799,'Location Data'!$C$5:$G$1004,5,FALSE)</f>
        <v>#N/A</v>
      </c>
      <c r="K799" t="e">
        <f>VLOOKUP(C799,'Location Data'!$C$5:$G$1004,4,FALSE)</f>
        <v>#N/A</v>
      </c>
      <c r="L799" t="e">
        <f>VLOOKUP(C799,'Location Data'!$C$5:$G$1004,5,FALSE)</f>
        <v>#N/A</v>
      </c>
    </row>
    <row r="800" spans="1:12" x14ac:dyDescent="0.2">
      <c r="A800">
        <f>'Shipment Data for Provisioning'!B805</f>
        <v>0</v>
      </c>
      <c r="B800">
        <f>'Shipment Data for Provisioning'!C805</f>
        <v>0</v>
      </c>
      <c r="C800">
        <f>'Shipment Data for Provisioning'!D805</f>
        <v>0</v>
      </c>
      <c r="D800">
        <f>'Shipment Data for Provisioning'!E805</f>
        <v>0</v>
      </c>
      <c r="E800">
        <f>'Shipment Data for Provisioning'!F805</f>
        <v>0</v>
      </c>
      <c r="F800">
        <f>'Shipment Data for Provisioning'!G805</f>
        <v>0</v>
      </c>
      <c r="G800">
        <f>'Shipment Data for Provisioning'!H805</f>
        <v>0</v>
      </c>
      <c r="H800">
        <f>'Shipment Data for Provisioning'!I805</f>
        <v>0</v>
      </c>
      <c r="I800" t="e">
        <f>VLOOKUP(B800,'Location Data'!$C$5:$G$1004,4,FALSE)</f>
        <v>#N/A</v>
      </c>
      <c r="J800" t="e">
        <f>VLOOKUP(B800,'Location Data'!$C$5:$G$1004,5,FALSE)</f>
        <v>#N/A</v>
      </c>
      <c r="K800" t="e">
        <f>VLOOKUP(C800,'Location Data'!$C$5:$G$1004,4,FALSE)</f>
        <v>#N/A</v>
      </c>
      <c r="L800" t="e">
        <f>VLOOKUP(C800,'Location Data'!$C$5:$G$1004,5,FALSE)</f>
        <v>#N/A</v>
      </c>
    </row>
    <row r="801" spans="1:12" x14ac:dyDescent="0.2">
      <c r="A801">
        <f>'Shipment Data for Provisioning'!B806</f>
        <v>0</v>
      </c>
      <c r="B801">
        <f>'Shipment Data for Provisioning'!C806</f>
        <v>0</v>
      </c>
      <c r="C801">
        <f>'Shipment Data for Provisioning'!D806</f>
        <v>0</v>
      </c>
      <c r="D801">
        <f>'Shipment Data for Provisioning'!E806</f>
        <v>0</v>
      </c>
      <c r="E801">
        <f>'Shipment Data for Provisioning'!F806</f>
        <v>0</v>
      </c>
      <c r="F801">
        <f>'Shipment Data for Provisioning'!G806</f>
        <v>0</v>
      </c>
      <c r="G801">
        <f>'Shipment Data for Provisioning'!H806</f>
        <v>0</v>
      </c>
      <c r="H801">
        <f>'Shipment Data for Provisioning'!I806</f>
        <v>0</v>
      </c>
      <c r="I801" t="e">
        <f>VLOOKUP(B801,'Location Data'!$C$5:$G$1004,4,FALSE)</f>
        <v>#N/A</v>
      </c>
      <c r="J801" t="e">
        <f>VLOOKUP(B801,'Location Data'!$C$5:$G$1004,5,FALSE)</f>
        <v>#N/A</v>
      </c>
      <c r="K801" t="e">
        <f>VLOOKUP(C801,'Location Data'!$C$5:$G$1004,4,FALSE)</f>
        <v>#N/A</v>
      </c>
      <c r="L801" t="e">
        <f>VLOOKUP(C801,'Location Data'!$C$5:$G$1004,5,FALSE)</f>
        <v>#N/A</v>
      </c>
    </row>
    <row r="802" spans="1:12" x14ac:dyDescent="0.2">
      <c r="A802">
        <f>'Shipment Data for Provisioning'!B807</f>
        <v>0</v>
      </c>
      <c r="B802">
        <f>'Shipment Data for Provisioning'!C807</f>
        <v>0</v>
      </c>
      <c r="C802">
        <f>'Shipment Data for Provisioning'!D807</f>
        <v>0</v>
      </c>
      <c r="D802">
        <f>'Shipment Data for Provisioning'!E807</f>
        <v>0</v>
      </c>
      <c r="E802">
        <f>'Shipment Data for Provisioning'!F807</f>
        <v>0</v>
      </c>
      <c r="F802">
        <f>'Shipment Data for Provisioning'!G807</f>
        <v>0</v>
      </c>
      <c r="G802">
        <f>'Shipment Data for Provisioning'!H807</f>
        <v>0</v>
      </c>
      <c r="H802">
        <f>'Shipment Data for Provisioning'!I807</f>
        <v>0</v>
      </c>
      <c r="I802" t="e">
        <f>VLOOKUP(B802,'Location Data'!$C$5:$G$1004,4,FALSE)</f>
        <v>#N/A</v>
      </c>
      <c r="J802" t="e">
        <f>VLOOKUP(B802,'Location Data'!$C$5:$G$1004,5,FALSE)</f>
        <v>#N/A</v>
      </c>
      <c r="K802" t="e">
        <f>VLOOKUP(C802,'Location Data'!$C$5:$G$1004,4,FALSE)</f>
        <v>#N/A</v>
      </c>
      <c r="L802" t="e">
        <f>VLOOKUP(C802,'Location Data'!$C$5:$G$1004,5,FALSE)</f>
        <v>#N/A</v>
      </c>
    </row>
    <row r="803" spans="1:12" x14ac:dyDescent="0.2">
      <c r="A803">
        <f>'Shipment Data for Provisioning'!B808</f>
        <v>0</v>
      </c>
      <c r="B803">
        <f>'Shipment Data for Provisioning'!C808</f>
        <v>0</v>
      </c>
      <c r="C803">
        <f>'Shipment Data for Provisioning'!D808</f>
        <v>0</v>
      </c>
      <c r="D803">
        <f>'Shipment Data for Provisioning'!E808</f>
        <v>0</v>
      </c>
      <c r="E803">
        <f>'Shipment Data for Provisioning'!F808</f>
        <v>0</v>
      </c>
      <c r="F803">
        <f>'Shipment Data for Provisioning'!G808</f>
        <v>0</v>
      </c>
      <c r="G803">
        <f>'Shipment Data for Provisioning'!H808</f>
        <v>0</v>
      </c>
      <c r="H803">
        <f>'Shipment Data for Provisioning'!I808</f>
        <v>0</v>
      </c>
      <c r="I803" t="e">
        <f>VLOOKUP(B803,'Location Data'!$C$5:$G$1004,4,FALSE)</f>
        <v>#N/A</v>
      </c>
      <c r="J803" t="e">
        <f>VLOOKUP(B803,'Location Data'!$C$5:$G$1004,5,FALSE)</f>
        <v>#N/A</v>
      </c>
      <c r="K803" t="e">
        <f>VLOOKUP(C803,'Location Data'!$C$5:$G$1004,4,FALSE)</f>
        <v>#N/A</v>
      </c>
      <c r="L803" t="e">
        <f>VLOOKUP(C803,'Location Data'!$C$5:$G$1004,5,FALSE)</f>
        <v>#N/A</v>
      </c>
    </row>
    <row r="804" spans="1:12" x14ac:dyDescent="0.2">
      <c r="A804">
        <f>'Shipment Data for Provisioning'!B809</f>
        <v>0</v>
      </c>
      <c r="B804">
        <f>'Shipment Data for Provisioning'!C809</f>
        <v>0</v>
      </c>
      <c r="C804">
        <f>'Shipment Data for Provisioning'!D809</f>
        <v>0</v>
      </c>
      <c r="D804">
        <f>'Shipment Data for Provisioning'!E809</f>
        <v>0</v>
      </c>
      <c r="E804">
        <f>'Shipment Data for Provisioning'!F809</f>
        <v>0</v>
      </c>
      <c r="F804">
        <f>'Shipment Data for Provisioning'!G809</f>
        <v>0</v>
      </c>
      <c r="G804">
        <f>'Shipment Data for Provisioning'!H809</f>
        <v>0</v>
      </c>
      <c r="H804">
        <f>'Shipment Data for Provisioning'!I809</f>
        <v>0</v>
      </c>
      <c r="I804" t="e">
        <f>VLOOKUP(B804,'Location Data'!$C$5:$G$1004,4,FALSE)</f>
        <v>#N/A</v>
      </c>
      <c r="J804" t="e">
        <f>VLOOKUP(B804,'Location Data'!$C$5:$G$1004,5,FALSE)</f>
        <v>#N/A</v>
      </c>
      <c r="K804" t="e">
        <f>VLOOKUP(C804,'Location Data'!$C$5:$G$1004,4,FALSE)</f>
        <v>#N/A</v>
      </c>
      <c r="L804" t="e">
        <f>VLOOKUP(C804,'Location Data'!$C$5:$G$1004,5,FALSE)</f>
        <v>#N/A</v>
      </c>
    </row>
    <row r="805" spans="1:12" x14ac:dyDescent="0.2">
      <c r="A805">
        <f>'Shipment Data for Provisioning'!B810</f>
        <v>0</v>
      </c>
      <c r="B805">
        <f>'Shipment Data for Provisioning'!C810</f>
        <v>0</v>
      </c>
      <c r="C805">
        <f>'Shipment Data for Provisioning'!D810</f>
        <v>0</v>
      </c>
      <c r="D805">
        <f>'Shipment Data for Provisioning'!E810</f>
        <v>0</v>
      </c>
      <c r="E805">
        <f>'Shipment Data for Provisioning'!F810</f>
        <v>0</v>
      </c>
      <c r="F805">
        <f>'Shipment Data for Provisioning'!G810</f>
        <v>0</v>
      </c>
      <c r="G805">
        <f>'Shipment Data for Provisioning'!H810</f>
        <v>0</v>
      </c>
      <c r="H805">
        <f>'Shipment Data for Provisioning'!I810</f>
        <v>0</v>
      </c>
      <c r="I805" t="e">
        <f>VLOOKUP(B805,'Location Data'!$C$5:$G$1004,4,FALSE)</f>
        <v>#N/A</v>
      </c>
      <c r="J805" t="e">
        <f>VLOOKUP(B805,'Location Data'!$C$5:$G$1004,5,FALSE)</f>
        <v>#N/A</v>
      </c>
      <c r="K805" t="e">
        <f>VLOOKUP(C805,'Location Data'!$C$5:$G$1004,4,FALSE)</f>
        <v>#N/A</v>
      </c>
      <c r="L805" t="e">
        <f>VLOOKUP(C805,'Location Data'!$C$5:$G$1004,5,FALSE)</f>
        <v>#N/A</v>
      </c>
    </row>
    <row r="806" spans="1:12" x14ac:dyDescent="0.2">
      <c r="A806">
        <f>'Shipment Data for Provisioning'!B811</f>
        <v>0</v>
      </c>
      <c r="B806">
        <f>'Shipment Data for Provisioning'!C811</f>
        <v>0</v>
      </c>
      <c r="C806">
        <f>'Shipment Data for Provisioning'!D811</f>
        <v>0</v>
      </c>
      <c r="D806">
        <f>'Shipment Data for Provisioning'!E811</f>
        <v>0</v>
      </c>
      <c r="E806">
        <f>'Shipment Data for Provisioning'!F811</f>
        <v>0</v>
      </c>
      <c r="F806">
        <f>'Shipment Data for Provisioning'!G811</f>
        <v>0</v>
      </c>
      <c r="G806">
        <f>'Shipment Data for Provisioning'!H811</f>
        <v>0</v>
      </c>
      <c r="H806">
        <f>'Shipment Data for Provisioning'!I811</f>
        <v>0</v>
      </c>
      <c r="I806" t="e">
        <f>VLOOKUP(B806,'Location Data'!$C$5:$G$1004,4,FALSE)</f>
        <v>#N/A</v>
      </c>
      <c r="J806" t="e">
        <f>VLOOKUP(B806,'Location Data'!$C$5:$G$1004,5,FALSE)</f>
        <v>#N/A</v>
      </c>
      <c r="K806" t="e">
        <f>VLOOKUP(C806,'Location Data'!$C$5:$G$1004,4,FALSE)</f>
        <v>#N/A</v>
      </c>
      <c r="L806" t="e">
        <f>VLOOKUP(C806,'Location Data'!$C$5:$G$1004,5,FALSE)</f>
        <v>#N/A</v>
      </c>
    </row>
    <row r="807" spans="1:12" x14ac:dyDescent="0.2">
      <c r="A807">
        <f>'Shipment Data for Provisioning'!B812</f>
        <v>0</v>
      </c>
      <c r="B807">
        <f>'Shipment Data for Provisioning'!C812</f>
        <v>0</v>
      </c>
      <c r="C807">
        <f>'Shipment Data for Provisioning'!D812</f>
        <v>0</v>
      </c>
      <c r="D807">
        <f>'Shipment Data for Provisioning'!E812</f>
        <v>0</v>
      </c>
      <c r="E807">
        <f>'Shipment Data for Provisioning'!F812</f>
        <v>0</v>
      </c>
      <c r="F807">
        <f>'Shipment Data for Provisioning'!G812</f>
        <v>0</v>
      </c>
      <c r="G807">
        <f>'Shipment Data for Provisioning'!H812</f>
        <v>0</v>
      </c>
      <c r="H807">
        <f>'Shipment Data for Provisioning'!I812</f>
        <v>0</v>
      </c>
      <c r="I807" t="e">
        <f>VLOOKUP(B807,'Location Data'!$C$5:$G$1004,4,FALSE)</f>
        <v>#N/A</v>
      </c>
      <c r="J807" t="e">
        <f>VLOOKUP(B807,'Location Data'!$C$5:$G$1004,5,FALSE)</f>
        <v>#N/A</v>
      </c>
      <c r="K807" t="e">
        <f>VLOOKUP(C807,'Location Data'!$C$5:$G$1004,4,FALSE)</f>
        <v>#N/A</v>
      </c>
      <c r="L807" t="e">
        <f>VLOOKUP(C807,'Location Data'!$C$5:$G$1004,5,FALSE)</f>
        <v>#N/A</v>
      </c>
    </row>
    <row r="808" spans="1:12" x14ac:dyDescent="0.2">
      <c r="A808">
        <f>'Shipment Data for Provisioning'!B813</f>
        <v>0</v>
      </c>
      <c r="B808">
        <f>'Shipment Data for Provisioning'!C813</f>
        <v>0</v>
      </c>
      <c r="C808">
        <f>'Shipment Data for Provisioning'!D813</f>
        <v>0</v>
      </c>
      <c r="D808">
        <f>'Shipment Data for Provisioning'!E813</f>
        <v>0</v>
      </c>
      <c r="E808">
        <f>'Shipment Data for Provisioning'!F813</f>
        <v>0</v>
      </c>
      <c r="F808">
        <f>'Shipment Data for Provisioning'!G813</f>
        <v>0</v>
      </c>
      <c r="G808">
        <f>'Shipment Data for Provisioning'!H813</f>
        <v>0</v>
      </c>
      <c r="H808">
        <f>'Shipment Data for Provisioning'!I813</f>
        <v>0</v>
      </c>
      <c r="I808" t="e">
        <f>VLOOKUP(B808,'Location Data'!$C$5:$G$1004,4,FALSE)</f>
        <v>#N/A</v>
      </c>
      <c r="J808" t="e">
        <f>VLOOKUP(B808,'Location Data'!$C$5:$G$1004,5,FALSE)</f>
        <v>#N/A</v>
      </c>
      <c r="K808" t="e">
        <f>VLOOKUP(C808,'Location Data'!$C$5:$G$1004,4,FALSE)</f>
        <v>#N/A</v>
      </c>
      <c r="L808" t="e">
        <f>VLOOKUP(C808,'Location Data'!$C$5:$G$1004,5,FALSE)</f>
        <v>#N/A</v>
      </c>
    </row>
    <row r="809" spans="1:12" x14ac:dyDescent="0.2">
      <c r="A809">
        <f>'Shipment Data for Provisioning'!B814</f>
        <v>0</v>
      </c>
      <c r="B809">
        <f>'Shipment Data for Provisioning'!C814</f>
        <v>0</v>
      </c>
      <c r="C809">
        <f>'Shipment Data for Provisioning'!D814</f>
        <v>0</v>
      </c>
      <c r="D809">
        <f>'Shipment Data for Provisioning'!E814</f>
        <v>0</v>
      </c>
      <c r="E809">
        <f>'Shipment Data for Provisioning'!F814</f>
        <v>0</v>
      </c>
      <c r="F809">
        <f>'Shipment Data for Provisioning'!G814</f>
        <v>0</v>
      </c>
      <c r="G809">
        <f>'Shipment Data for Provisioning'!H814</f>
        <v>0</v>
      </c>
      <c r="H809">
        <f>'Shipment Data for Provisioning'!I814</f>
        <v>0</v>
      </c>
      <c r="I809" t="e">
        <f>VLOOKUP(B809,'Location Data'!$C$5:$G$1004,4,FALSE)</f>
        <v>#N/A</v>
      </c>
      <c r="J809" t="e">
        <f>VLOOKUP(B809,'Location Data'!$C$5:$G$1004,5,FALSE)</f>
        <v>#N/A</v>
      </c>
      <c r="K809" t="e">
        <f>VLOOKUP(C809,'Location Data'!$C$5:$G$1004,4,FALSE)</f>
        <v>#N/A</v>
      </c>
      <c r="L809" t="e">
        <f>VLOOKUP(C809,'Location Data'!$C$5:$G$1004,5,FALSE)</f>
        <v>#N/A</v>
      </c>
    </row>
    <row r="810" spans="1:12" x14ac:dyDescent="0.2">
      <c r="A810">
        <f>'Shipment Data for Provisioning'!B815</f>
        <v>0</v>
      </c>
      <c r="B810">
        <f>'Shipment Data for Provisioning'!C815</f>
        <v>0</v>
      </c>
      <c r="C810">
        <f>'Shipment Data for Provisioning'!D815</f>
        <v>0</v>
      </c>
      <c r="D810">
        <f>'Shipment Data for Provisioning'!E815</f>
        <v>0</v>
      </c>
      <c r="E810">
        <f>'Shipment Data for Provisioning'!F815</f>
        <v>0</v>
      </c>
      <c r="F810">
        <f>'Shipment Data for Provisioning'!G815</f>
        <v>0</v>
      </c>
      <c r="G810">
        <f>'Shipment Data for Provisioning'!H815</f>
        <v>0</v>
      </c>
      <c r="H810">
        <f>'Shipment Data for Provisioning'!I815</f>
        <v>0</v>
      </c>
      <c r="I810" t="e">
        <f>VLOOKUP(B810,'Location Data'!$C$5:$G$1004,4,FALSE)</f>
        <v>#N/A</v>
      </c>
      <c r="J810" t="e">
        <f>VLOOKUP(B810,'Location Data'!$C$5:$G$1004,5,FALSE)</f>
        <v>#N/A</v>
      </c>
      <c r="K810" t="e">
        <f>VLOOKUP(C810,'Location Data'!$C$5:$G$1004,4,FALSE)</f>
        <v>#N/A</v>
      </c>
      <c r="L810" t="e">
        <f>VLOOKUP(C810,'Location Data'!$C$5:$G$1004,5,FALSE)</f>
        <v>#N/A</v>
      </c>
    </row>
    <row r="811" spans="1:12" x14ac:dyDescent="0.2">
      <c r="A811">
        <f>'Shipment Data for Provisioning'!B816</f>
        <v>0</v>
      </c>
      <c r="B811">
        <f>'Shipment Data for Provisioning'!C816</f>
        <v>0</v>
      </c>
      <c r="C811">
        <f>'Shipment Data for Provisioning'!D816</f>
        <v>0</v>
      </c>
      <c r="D811">
        <f>'Shipment Data for Provisioning'!E816</f>
        <v>0</v>
      </c>
      <c r="E811">
        <f>'Shipment Data for Provisioning'!F816</f>
        <v>0</v>
      </c>
      <c r="F811">
        <f>'Shipment Data for Provisioning'!G816</f>
        <v>0</v>
      </c>
      <c r="G811">
        <f>'Shipment Data for Provisioning'!H816</f>
        <v>0</v>
      </c>
      <c r="H811">
        <f>'Shipment Data for Provisioning'!I816</f>
        <v>0</v>
      </c>
      <c r="I811" t="e">
        <f>VLOOKUP(B811,'Location Data'!$C$5:$G$1004,4,FALSE)</f>
        <v>#N/A</v>
      </c>
      <c r="J811" t="e">
        <f>VLOOKUP(B811,'Location Data'!$C$5:$G$1004,5,FALSE)</f>
        <v>#N/A</v>
      </c>
      <c r="K811" t="e">
        <f>VLOOKUP(C811,'Location Data'!$C$5:$G$1004,4,FALSE)</f>
        <v>#N/A</v>
      </c>
      <c r="L811" t="e">
        <f>VLOOKUP(C811,'Location Data'!$C$5:$G$1004,5,FALSE)</f>
        <v>#N/A</v>
      </c>
    </row>
    <row r="812" spans="1:12" x14ac:dyDescent="0.2">
      <c r="A812">
        <f>'Shipment Data for Provisioning'!B817</f>
        <v>0</v>
      </c>
      <c r="B812">
        <f>'Shipment Data for Provisioning'!C817</f>
        <v>0</v>
      </c>
      <c r="C812">
        <f>'Shipment Data for Provisioning'!D817</f>
        <v>0</v>
      </c>
      <c r="D812">
        <f>'Shipment Data for Provisioning'!E817</f>
        <v>0</v>
      </c>
      <c r="E812">
        <f>'Shipment Data for Provisioning'!F817</f>
        <v>0</v>
      </c>
      <c r="F812">
        <f>'Shipment Data for Provisioning'!G817</f>
        <v>0</v>
      </c>
      <c r="G812">
        <f>'Shipment Data for Provisioning'!H817</f>
        <v>0</v>
      </c>
      <c r="H812">
        <f>'Shipment Data for Provisioning'!I817</f>
        <v>0</v>
      </c>
      <c r="I812" t="e">
        <f>VLOOKUP(B812,'Location Data'!$C$5:$G$1004,4,FALSE)</f>
        <v>#N/A</v>
      </c>
      <c r="J812" t="e">
        <f>VLOOKUP(B812,'Location Data'!$C$5:$G$1004,5,FALSE)</f>
        <v>#N/A</v>
      </c>
      <c r="K812" t="e">
        <f>VLOOKUP(C812,'Location Data'!$C$5:$G$1004,4,FALSE)</f>
        <v>#N/A</v>
      </c>
      <c r="L812" t="e">
        <f>VLOOKUP(C812,'Location Data'!$C$5:$G$1004,5,FALSE)</f>
        <v>#N/A</v>
      </c>
    </row>
    <row r="813" spans="1:12" x14ac:dyDescent="0.2">
      <c r="A813">
        <f>'Shipment Data for Provisioning'!B818</f>
        <v>0</v>
      </c>
      <c r="B813">
        <f>'Shipment Data for Provisioning'!C818</f>
        <v>0</v>
      </c>
      <c r="C813">
        <f>'Shipment Data for Provisioning'!D818</f>
        <v>0</v>
      </c>
      <c r="D813">
        <f>'Shipment Data for Provisioning'!E818</f>
        <v>0</v>
      </c>
      <c r="E813">
        <f>'Shipment Data for Provisioning'!F818</f>
        <v>0</v>
      </c>
      <c r="F813">
        <f>'Shipment Data for Provisioning'!G818</f>
        <v>0</v>
      </c>
      <c r="G813">
        <f>'Shipment Data for Provisioning'!H818</f>
        <v>0</v>
      </c>
      <c r="H813">
        <f>'Shipment Data for Provisioning'!I818</f>
        <v>0</v>
      </c>
      <c r="I813" t="e">
        <f>VLOOKUP(B813,'Location Data'!$C$5:$G$1004,4,FALSE)</f>
        <v>#N/A</v>
      </c>
      <c r="J813" t="e">
        <f>VLOOKUP(B813,'Location Data'!$C$5:$G$1004,5,FALSE)</f>
        <v>#N/A</v>
      </c>
      <c r="K813" t="e">
        <f>VLOOKUP(C813,'Location Data'!$C$5:$G$1004,4,FALSE)</f>
        <v>#N/A</v>
      </c>
      <c r="L813" t="e">
        <f>VLOOKUP(C813,'Location Data'!$C$5:$G$1004,5,FALSE)</f>
        <v>#N/A</v>
      </c>
    </row>
    <row r="814" spans="1:12" x14ac:dyDescent="0.2">
      <c r="A814">
        <f>'Shipment Data for Provisioning'!B819</f>
        <v>0</v>
      </c>
      <c r="B814">
        <f>'Shipment Data for Provisioning'!C819</f>
        <v>0</v>
      </c>
      <c r="C814">
        <f>'Shipment Data for Provisioning'!D819</f>
        <v>0</v>
      </c>
      <c r="D814">
        <f>'Shipment Data for Provisioning'!E819</f>
        <v>0</v>
      </c>
      <c r="E814">
        <f>'Shipment Data for Provisioning'!F819</f>
        <v>0</v>
      </c>
      <c r="F814">
        <f>'Shipment Data for Provisioning'!G819</f>
        <v>0</v>
      </c>
      <c r="G814">
        <f>'Shipment Data for Provisioning'!H819</f>
        <v>0</v>
      </c>
      <c r="H814">
        <f>'Shipment Data for Provisioning'!I819</f>
        <v>0</v>
      </c>
      <c r="I814" t="e">
        <f>VLOOKUP(B814,'Location Data'!$C$5:$G$1004,4,FALSE)</f>
        <v>#N/A</v>
      </c>
      <c r="J814" t="e">
        <f>VLOOKUP(B814,'Location Data'!$C$5:$G$1004,5,FALSE)</f>
        <v>#N/A</v>
      </c>
      <c r="K814" t="e">
        <f>VLOOKUP(C814,'Location Data'!$C$5:$G$1004,4,FALSE)</f>
        <v>#N/A</v>
      </c>
      <c r="L814" t="e">
        <f>VLOOKUP(C814,'Location Data'!$C$5:$G$1004,5,FALSE)</f>
        <v>#N/A</v>
      </c>
    </row>
    <row r="815" spans="1:12" x14ac:dyDescent="0.2">
      <c r="A815">
        <f>'Shipment Data for Provisioning'!B820</f>
        <v>0</v>
      </c>
      <c r="B815">
        <f>'Shipment Data for Provisioning'!C820</f>
        <v>0</v>
      </c>
      <c r="C815">
        <f>'Shipment Data for Provisioning'!D820</f>
        <v>0</v>
      </c>
      <c r="D815">
        <f>'Shipment Data for Provisioning'!E820</f>
        <v>0</v>
      </c>
      <c r="E815">
        <f>'Shipment Data for Provisioning'!F820</f>
        <v>0</v>
      </c>
      <c r="F815">
        <f>'Shipment Data for Provisioning'!G820</f>
        <v>0</v>
      </c>
      <c r="G815">
        <f>'Shipment Data for Provisioning'!H820</f>
        <v>0</v>
      </c>
      <c r="H815">
        <f>'Shipment Data for Provisioning'!I820</f>
        <v>0</v>
      </c>
      <c r="I815" t="e">
        <f>VLOOKUP(B815,'Location Data'!$C$5:$G$1004,4,FALSE)</f>
        <v>#N/A</v>
      </c>
      <c r="J815" t="e">
        <f>VLOOKUP(B815,'Location Data'!$C$5:$G$1004,5,FALSE)</f>
        <v>#N/A</v>
      </c>
      <c r="K815" t="e">
        <f>VLOOKUP(C815,'Location Data'!$C$5:$G$1004,4,FALSE)</f>
        <v>#N/A</v>
      </c>
      <c r="L815" t="e">
        <f>VLOOKUP(C815,'Location Data'!$C$5:$G$1004,5,FALSE)</f>
        <v>#N/A</v>
      </c>
    </row>
    <row r="816" spans="1:12" x14ac:dyDescent="0.2">
      <c r="A816">
        <f>'Shipment Data for Provisioning'!B821</f>
        <v>0</v>
      </c>
      <c r="B816">
        <f>'Shipment Data for Provisioning'!C821</f>
        <v>0</v>
      </c>
      <c r="C816">
        <f>'Shipment Data for Provisioning'!D821</f>
        <v>0</v>
      </c>
      <c r="D816">
        <f>'Shipment Data for Provisioning'!E821</f>
        <v>0</v>
      </c>
      <c r="E816">
        <f>'Shipment Data for Provisioning'!F821</f>
        <v>0</v>
      </c>
      <c r="F816">
        <f>'Shipment Data for Provisioning'!G821</f>
        <v>0</v>
      </c>
      <c r="G816">
        <f>'Shipment Data for Provisioning'!H821</f>
        <v>0</v>
      </c>
      <c r="H816">
        <f>'Shipment Data for Provisioning'!I821</f>
        <v>0</v>
      </c>
      <c r="I816" t="e">
        <f>VLOOKUP(B816,'Location Data'!$C$5:$G$1004,4,FALSE)</f>
        <v>#N/A</v>
      </c>
      <c r="J816" t="e">
        <f>VLOOKUP(B816,'Location Data'!$C$5:$G$1004,5,FALSE)</f>
        <v>#N/A</v>
      </c>
      <c r="K816" t="e">
        <f>VLOOKUP(C816,'Location Data'!$C$5:$G$1004,4,FALSE)</f>
        <v>#N/A</v>
      </c>
      <c r="L816" t="e">
        <f>VLOOKUP(C816,'Location Data'!$C$5:$G$1004,5,FALSE)</f>
        <v>#N/A</v>
      </c>
    </row>
    <row r="817" spans="1:12" x14ac:dyDescent="0.2">
      <c r="A817">
        <f>'Shipment Data for Provisioning'!B822</f>
        <v>0</v>
      </c>
      <c r="B817">
        <f>'Shipment Data for Provisioning'!C822</f>
        <v>0</v>
      </c>
      <c r="C817">
        <f>'Shipment Data for Provisioning'!D822</f>
        <v>0</v>
      </c>
      <c r="D817">
        <f>'Shipment Data for Provisioning'!E822</f>
        <v>0</v>
      </c>
      <c r="E817">
        <f>'Shipment Data for Provisioning'!F822</f>
        <v>0</v>
      </c>
      <c r="F817">
        <f>'Shipment Data for Provisioning'!G822</f>
        <v>0</v>
      </c>
      <c r="G817">
        <f>'Shipment Data for Provisioning'!H822</f>
        <v>0</v>
      </c>
      <c r="H817">
        <f>'Shipment Data for Provisioning'!I822</f>
        <v>0</v>
      </c>
      <c r="I817" t="e">
        <f>VLOOKUP(B817,'Location Data'!$C$5:$G$1004,4,FALSE)</f>
        <v>#N/A</v>
      </c>
      <c r="J817" t="e">
        <f>VLOOKUP(B817,'Location Data'!$C$5:$G$1004,5,FALSE)</f>
        <v>#N/A</v>
      </c>
      <c r="K817" t="e">
        <f>VLOOKUP(C817,'Location Data'!$C$5:$G$1004,4,FALSE)</f>
        <v>#N/A</v>
      </c>
      <c r="L817" t="e">
        <f>VLOOKUP(C817,'Location Data'!$C$5:$G$1004,5,FALSE)</f>
        <v>#N/A</v>
      </c>
    </row>
    <row r="818" spans="1:12" x14ac:dyDescent="0.2">
      <c r="A818">
        <f>'Shipment Data for Provisioning'!B823</f>
        <v>0</v>
      </c>
      <c r="B818">
        <f>'Shipment Data for Provisioning'!C823</f>
        <v>0</v>
      </c>
      <c r="C818">
        <f>'Shipment Data for Provisioning'!D823</f>
        <v>0</v>
      </c>
      <c r="D818">
        <f>'Shipment Data for Provisioning'!E823</f>
        <v>0</v>
      </c>
      <c r="E818">
        <f>'Shipment Data for Provisioning'!F823</f>
        <v>0</v>
      </c>
      <c r="F818">
        <f>'Shipment Data for Provisioning'!G823</f>
        <v>0</v>
      </c>
      <c r="G818">
        <f>'Shipment Data for Provisioning'!H823</f>
        <v>0</v>
      </c>
      <c r="H818">
        <f>'Shipment Data for Provisioning'!I823</f>
        <v>0</v>
      </c>
      <c r="I818" t="e">
        <f>VLOOKUP(B818,'Location Data'!$C$5:$G$1004,4,FALSE)</f>
        <v>#N/A</v>
      </c>
      <c r="J818" t="e">
        <f>VLOOKUP(B818,'Location Data'!$C$5:$G$1004,5,FALSE)</f>
        <v>#N/A</v>
      </c>
      <c r="K818" t="e">
        <f>VLOOKUP(C818,'Location Data'!$C$5:$G$1004,4,FALSE)</f>
        <v>#N/A</v>
      </c>
      <c r="L818" t="e">
        <f>VLOOKUP(C818,'Location Data'!$C$5:$G$1004,5,FALSE)</f>
        <v>#N/A</v>
      </c>
    </row>
    <row r="819" spans="1:12" x14ac:dyDescent="0.2">
      <c r="A819">
        <f>'Shipment Data for Provisioning'!B824</f>
        <v>0</v>
      </c>
      <c r="B819">
        <f>'Shipment Data for Provisioning'!C824</f>
        <v>0</v>
      </c>
      <c r="C819">
        <f>'Shipment Data for Provisioning'!D824</f>
        <v>0</v>
      </c>
      <c r="D819">
        <f>'Shipment Data for Provisioning'!E824</f>
        <v>0</v>
      </c>
      <c r="E819">
        <f>'Shipment Data for Provisioning'!F824</f>
        <v>0</v>
      </c>
      <c r="F819">
        <f>'Shipment Data for Provisioning'!G824</f>
        <v>0</v>
      </c>
      <c r="G819">
        <f>'Shipment Data for Provisioning'!H824</f>
        <v>0</v>
      </c>
      <c r="H819">
        <f>'Shipment Data for Provisioning'!I824</f>
        <v>0</v>
      </c>
      <c r="I819" t="e">
        <f>VLOOKUP(B819,'Location Data'!$C$5:$G$1004,4,FALSE)</f>
        <v>#N/A</v>
      </c>
      <c r="J819" t="e">
        <f>VLOOKUP(B819,'Location Data'!$C$5:$G$1004,5,FALSE)</f>
        <v>#N/A</v>
      </c>
      <c r="K819" t="e">
        <f>VLOOKUP(C819,'Location Data'!$C$5:$G$1004,4,FALSE)</f>
        <v>#N/A</v>
      </c>
      <c r="L819" t="e">
        <f>VLOOKUP(C819,'Location Data'!$C$5:$G$1004,5,FALSE)</f>
        <v>#N/A</v>
      </c>
    </row>
    <row r="820" spans="1:12" x14ac:dyDescent="0.2">
      <c r="A820">
        <f>'Shipment Data for Provisioning'!B825</f>
        <v>0</v>
      </c>
      <c r="B820">
        <f>'Shipment Data for Provisioning'!C825</f>
        <v>0</v>
      </c>
      <c r="C820">
        <f>'Shipment Data for Provisioning'!D825</f>
        <v>0</v>
      </c>
      <c r="D820">
        <f>'Shipment Data for Provisioning'!E825</f>
        <v>0</v>
      </c>
      <c r="E820">
        <f>'Shipment Data for Provisioning'!F825</f>
        <v>0</v>
      </c>
      <c r="F820">
        <f>'Shipment Data for Provisioning'!G825</f>
        <v>0</v>
      </c>
      <c r="G820">
        <f>'Shipment Data for Provisioning'!H825</f>
        <v>0</v>
      </c>
      <c r="H820">
        <f>'Shipment Data for Provisioning'!I825</f>
        <v>0</v>
      </c>
      <c r="I820" t="e">
        <f>VLOOKUP(B820,'Location Data'!$C$5:$G$1004,4,FALSE)</f>
        <v>#N/A</v>
      </c>
      <c r="J820" t="e">
        <f>VLOOKUP(B820,'Location Data'!$C$5:$G$1004,5,FALSE)</f>
        <v>#N/A</v>
      </c>
      <c r="K820" t="e">
        <f>VLOOKUP(C820,'Location Data'!$C$5:$G$1004,4,FALSE)</f>
        <v>#N/A</v>
      </c>
      <c r="L820" t="e">
        <f>VLOOKUP(C820,'Location Data'!$C$5:$G$1004,5,FALSE)</f>
        <v>#N/A</v>
      </c>
    </row>
    <row r="821" spans="1:12" x14ac:dyDescent="0.2">
      <c r="A821">
        <f>'Shipment Data for Provisioning'!B826</f>
        <v>0</v>
      </c>
      <c r="B821">
        <f>'Shipment Data for Provisioning'!C826</f>
        <v>0</v>
      </c>
      <c r="C821">
        <f>'Shipment Data for Provisioning'!D826</f>
        <v>0</v>
      </c>
      <c r="D821">
        <f>'Shipment Data for Provisioning'!E826</f>
        <v>0</v>
      </c>
      <c r="E821">
        <f>'Shipment Data for Provisioning'!F826</f>
        <v>0</v>
      </c>
      <c r="F821">
        <f>'Shipment Data for Provisioning'!G826</f>
        <v>0</v>
      </c>
      <c r="G821">
        <f>'Shipment Data for Provisioning'!H826</f>
        <v>0</v>
      </c>
      <c r="H821">
        <f>'Shipment Data for Provisioning'!I826</f>
        <v>0</v>
      </c>
      <c r="I821" t="e">
        <f>VLOOKUP(B821,'Location Data'!$C$5:$G$1004,4,FALSE)</f>
        <v>#N/A</v>
      </c>
      <c r="J821" t="e">
        <f>VLOOKUP(B821,'Location Data'!$C$5:$G$1004,5,FALSE)</f>
        <v>#N/A</v>
      </c>
      <c r="K821" t="e">
        <f>VLOOKUP(C821,'Location Data'!$C$5:$G$1004,4,FALSE)</f>
        <v>#N/A</v>
      </c>
      <c r="L821" t="e">
        <f>VLOOKUP(C821,'Location Data'!$C$5:$G$1004,5,FALSE)</f>
        <v>#N/A</v>
      </c>
    </row>
    <row r="822" spans="1:12" x14ac:dyDescent="0.2">
      <c r="A822">
        <f>'Shipment Data for Provisioning'!B827</f>
        <v>0</v>
      </c>
      <c r="B822">
        <f>'Shipment Data for Provisioning'!C827</f>
        <v>0</v>
      </c>
      <c r="C822">
        <f>'Shipment Data for Provisioning'!D827</f>
        <v>0</v>
      </c>
      <c r="D822">
        <f>'Shipment Data for Provisioning'!E827</f>
        <v>0</v>
      </c>
      <c r="E822">
        <f>'Shipment Data for Provisioning'!F827</f>
        <v>0</v>
      </c>
      <c r="F822">
        <f>'Shipment Data for Provisioning'!G827</f>
        <v>0</v>
      </c>
      <c r="G822">
        <f>'Shipment Data for Provisioning'!H827</f>
        <v>0</v>
      </c>
      <c r="H822">
        <f>'Shipment Data for Provisioning'!I827</f>
        <v>0</v>
      </c>
      <c r="I822" t="e">
        <f>VLOOKUP(B822,'Location Data'!$C$5:$G$1004,4,FALSE)</f>
        <v>#N/A</v>
      </c>
      <c r="J822" t="e">
        <f>VLOOKUP(B822,'Location Data'!$C$5:$G$1004,5,FALSE)</f>
        <v>#N/A</v>
      </c>
      <c r="K822" t="e">
        <f>VLOOKUP(C822,'Location Data'!$C$5:$G$1004,4,FALSE)</f>
        <v>#N/A</v>
      </c>
      <c r="L822" t="e">
        <f>VLOOKUP(C822,'Location Data'!$C$5:$G$1004,5,FALSE)</f>
        <v>#N/A</v>
      </c>
    </row>
    <row r="823" spans="1:12" x14ac:dyDescent="0.2">
      <c r="A823">
        <f>'Shipment Data for Provisioning'!B828</f>
        <v>0</v>
      </c>
      <c r="B823">
        <f>'Shipment Data for Provisioning'!C828</f>
        <v>0</v>
      </c>
      <c r="C823">
        <f>'Shipment Data for Provisioning'!D828</f>
        <v>0</v>
      </c>
      <c r="D823">
        <f>'Shipment Data for Provisioning'!E828</f>
        <v>0</v>
      </c>
      <c r="E823">
        <f>'Shipment Data for Provisioning'!F828</f>
        <v>0</v>
      </c>
      <c r="F823">
        <f>'Shipment Data for Provisioning'!G828</f>
        <v>0</v>
      </c>
      <c r="G823">
        <f>'Shipment Data for Provisioning'!H828</f>
        <v>0</v>
      </c>
      <c r="H823">
        <f>'Shipment Data for Provisioning'!I828</f>
        <v>0</v>
      </c>
      <c r="I823" t="e">
        <f>VLOOKUP(B823,'Location Data'!$C$5:$G$1004,4,FALSE)</f>
        <v>#N/A</v>
      </c>
      <c r="J823" t="e">
        <f>VLOOKUP(B823,'Location Data'!$C$5:$G$1004,5,FALSE)</f>
        <v>#N/A</v>
      </c>
      <c r="K823" t="e">
        <f>VLOOKUP(C823,'Location Data'!$C$5:$G$1004,4,FALSE)</f>
        <v>#N/A</v>
      </c>
      <c r="L823" t="e">
        <f>VLOOKUP(C823,'Location Data'!$C$5:$G$1004,5,FALSE)</f>
        <v>#N/A</v>
      </c>
    </row>
    <row r="824" spans="1:12" x14ac:dyDescent="0.2">
      <c r="A824">
        <f>'Shipment Data for Provisioning'!B829</f>
        <v>0</v>
      </c>
      <c r="B824">
        <f>'Shipment Data for Provisioning'!C829</f>
        <v>0</v>
      </c>
      <c r="C824">
        <f>'Shipment Data for Provisioning'!D829</f>
        <v>0</v>
      </c>
      <c r="D824">
        <f>'Shipment Data for Provisioning'!E829</f>
        <v>0</v>
      </c>
      <c r="E824">
        <f>'Shipment Data for Provisioning'!F829</f>
        <v>0</v>
      </c>
      <c r="F824">
        <f>'Shipment Data for Provisioning'!G829</f>
        <v>0</v>
      </c>
      <c r="G824">
        <f>'Shipment Data for Provisioning'!H829</f>
        <v>0</v>
      </c>
      <c r="H824">
        <f>'Shipment Data for Provisioning'!I829</f>
        <v>0</v>
      </c>
      <c r="I824" t="e">
        <f>VLOOKUP(B824,'Location Data'!$C$5:$G$1004,4,FALSE)</f>
        <v>#N/A</v>
      </c>
      <c r="J824" t="e">
        <f>VLOOKUP(B824,'Location Data'!$C$5:$G$1004,5,FALSE)</f>
        <v>#N/A</v>
      </c>
      <c r="K824" t="e">
        <f>VLOOKUP(C824,'Location Data'!$C$5:$G$1004,4,FALSE)</f>
        <v>#N/A</v>
      </c>
      <c r="L824" t="e">
        <f>VLOOKUP(C824,'Location Data'!$C$5:$G$1004,5,FALSE)</f>
        <v>#N/A</v>
      </c>
    </row>
    <row r="825" spans="1:12" x14ac:dyDescent="0.2">
      <c r="A825">
        <f>'Shipment Data for Provisioning'!B830</f>
        <v>0</v>
      </c>
      <c r="B825">
        <f>'Shipment Data for Provisioning'!C830</f>
        <v>0</v>
      </c>
      <c r="C825">
        <f>'Shipment Data for Provisioning'!D830</f>
        <v>0</v>
      </c>
      <c r="D825">
        <f>'Shipment Data for Provisioning'!E830</f>
        <v>0</v>
      </c>
      <c r="E825">
        <f>'Shipment Data for Provisioning'!F830</f>
        <v>0</v>
      </c>
      <c r="F825">
        <f>'Shipment Data for Provisioning'!G830</f>
        <v>0</v>
      </c>
      <c r="G825">
        <f>'Shipment Data for Provisioning'!H830</f>
        <v>0</v>
      </c>
      <c r="H825">
        <f>'Shipment Data for Provisioning'!I830</f>
        <v>0</v>
      </c>
      <c r="I825" t="e">
        <f>VLOOKUP(B825,'Location Data'!$C$5:$G$1004,4,FALSE)</f>
        <v>#N/A</v>
      </c>
      <c r="J825" t="e">
        <f>VLOOKUP(B825,'Location Data'!$C$5:$G$1004,5,FALSE)</f>
        <v>#N/A</v>
      </c>
      <c r="K825" t="e">
        <f>VLOOKUP(C825,'Location Data'!$C$5:$G$1004,4,FALSE)</f>
        <v>#N/A</v>
      </c>
      <c r="L825" t="e">
        <f>VLOOKUP(C825,'Location Data'!$C$5:$G$1004,5,FALSE)</f>
        <v>#N/A</v>
      </c>
    </row>
    <row r="826" spans="1:12" x14ac:dyDescent="0.2">
      <c r="A826">
        <f>'Shipment Data for Provisioning'!B831</f>
        <v>0</v>
      </c>
      <c r="B826">
        <f>'Shipment Data for Provisioning'!C831</f>
        <v>0</v>
      </c>
      <c r="C826">
        <f>'Shipment Data for Provisioning'!D831</f>
        <v>0</v>
      </c>
      <c r="D826">
        <f>'Shipment Data for Provisioning'!E831</f>
        <v>0</v>
      </c>
      <c r="E826">
        <f>'Shipment Data for Provisioning'!F831</f>
        <v>0</v>
      </c>
      <c r="F826">
        <f>'Shipment Data for Provisioning'!G831</f>
        <v>0</v>
      </c>
      <c r="G826">
        <f>'Shipment Data for Provisioning'!H831</f>
        <v>0</v>
      </c>
      <c r="H826">
        <f>'Shipment Data for Provisioning'!I831</f>
        <v>0</v>
      </c>
      <c r="I826" t="e">
        <f>VLOOKUP(B826,'Location Data'!$C$5:$G$1004,4,FALSE)</f>
        <v>#N/A</v>
      </c>
      <c r="J826" t="e">
        <f>VLOOKUP(B826,'Location Data'!$C$5:$G$1004,5,FALSE)</f>
        <v>#N/A</v>
      </c>
      <c r="K826" t="e">
        <f>VLOOKUP(C826,'Location Data'!$C$5:$G$1004,4,FALSE)</f>
        <v>#N/A</v>
      </c>
      <c r="L826" t="e">
        <f>VLOOKUP(C826,'Location Data'!$C$5:$G$1004,5,FALSE)</f>
        <v>#N/A</v>
      </c>
    </row>
    <row r="827" spans="1:12" x14ac:dyDescent="0.2">
      <c r="A827">
        <f>'Shipment Data for Provisioning'!B832</f>
        <v>0</v>
      </c>
      <c r="B827">
        <f>'Shipment Data for Provisioning'!C832</f>
        <v>0</v>
      </c>
      <c r="C827">
        <f>'Shipment Data for Provisioning'!D832</f>
        <v>0</v>
      </c>
      <c r="D827">
        <f>'Shipment Data for Provisioning'!E832</f>
        <v>0</v>
      </c>
      <c r="E827">
        <f>'Shipment Data for Provisioning'!F832</f>
        <v>0</v>
      </c>
      <c r="F827">
        <f>'Shipment Data for Provisioning'!G832</f>
        <v>0</v>
      </c>
      <c r="G827">
        <f>'Shipment Data for Provisioning'!H832</f>
        <v>0</v>
      </c>
      <c r="H827">
        <f>'Shipment Data for Provisioning'!I832</f>
        <v>0</v>
      </c>
      <c r="I827" t="e">
        <f>VLOOKUP(B827,'Location Data'!$C$5:$G$1004,4,FALSE)</f>
        <v>#N/A</v>
      </c>
      <c r="J827" t="e">
        <f>VLOOKUP(B827,'Location Data'!$C$5:$G$1004,5,FALSE)</f>
        <v>#N/A</v>
      </c>
      <c r="K827" t="e">
        <f>VLOOKUP(C827,'Location Data'!$C$5:$G$1004,4,FALSE)</f>
        <v>#N/A</v>
      </c>
      <c r="L827" t="e">
        <f>VLOOKUP(C827,'Location Data'!$C$5:$G$1004,5,FALSE)</f>
        <v>#N/A</v>
      </c>
    </row>
    <row r="828" spans="1:12" x14ac:dyDescent="0.2">
      <c r="A828">
        <f>'Shipment Data for Provisioning'!B833</f>
        <v>0</v>
      </c>
      <c r="B828">
        <f>'Shipment Data for Provisioning'!C833</f>
        <v>0</v>
      </c>
      <c r="C828">
        <f>'Shipment Data for Provisioning'!D833</f>
        <v>0</v>
      </c>
      <c r="D828">
        <f>'Shipment Data for Provisioning'!E833</f>
        <v>0</v>
      </c>
      <c r="E828">
        <f>'Shipment Data for Provisioning'!F833</f>
        <v>0</v>
      </c>
      <c r="F828">
        <f>'Shipment Data for Provisioning'!G833</f>
        <v>0</v>
      </c>
      <c r="G828">
        <f>'Shipment Data for Provisioning'!H833</f>
        <v>0</v>
      </c>
      <c r="H828">
        <f>'Shipment Data for Provisioning'!I833</f>
        <v>0</v>
      </c>
      <c r="I828" t="e">
        <f>VLOOKUP(B828,'Location Data'!$C$5:$G$1004,4,FALSE)</f>
        <v>#N/A</v>
      </c>
      <c r="J828" t="e">
        <f>VLOOKUP(B828,'Location Data'!$C$5:$G$1004,5,FALSE)</f>
        <v>#N/A</v>
      </c>
      <c r="K828" t="e">
        <f>VLOOKUP(C828,'Location Data'!$C$5:$G$1004,4,FALSE)</f>
        <v>#N/A</v>
      </c>
      <c r="L828" t="e">
        <f>VLOOKUP(C828,'Location Data'!$C$5:$G$1004,5,FALSE)</f>
        <v>#N/A</v>
      </c>
    </row>
    <row r="829" spans="1:12" x14ac:dyDescent="0.2">
      <c r="A829">
        <f>'Shipment Data for Provisioning'!B834</f>
        <v>0</v>
      </c>
      <c r="B829">
        <f>'Shipment Data for Provisioning'!C834</f>
        <v>0</v>
      </c>
      <c r="C829">
        <f>'Shipment Data for Provisioning'!D834</f>
        <v>0</v>
      </c>
      <c r="D829">
        <f>'Shipment Data for Provisioning'!E834</f>
        <v>0</v>
      </c>
      <c r="E829">
        <f>'Shipment Data for Provisioning'!F834</f>
        <v>0</v>
      </c>
      <c r="F829">
        <f>'Shipment Data for Provisioning'!G834</f>
        <v>0</v>
      </c>
      <c r="G829">
        <f>'Shipment Data for Provisioning'!H834</f>
        <v>0</v>
      </c>
      <c r="H829">
        <f>'Shipment Data for Provisioning'!I834</f>
        <v>0</v>
      </c>
      <c r="I829" t="e">
        <f>VLOOKUP(B829,'Location Data'!$C$5:$G$1004,4,FALSE)</f>
        <v>#N/A</v>
      </c>
      <c r="J829" t="e">
        <f>VLOOKUP(B829,'Location Data'!$C$5:$G$1004,5,FALSE)</f>
        <v>#N/A</v>
      </c>
      <c r="K829" t="e">
        <f>VLOOKUP(C829,'Location Data'!$C$5:$G$1004,4,FALSE)</f>
        <v>#N/A</v>
      </c>
      <c r="L829" t="e">
        <f>VLOOKUP(C829,'Location Data'!$C$5:$G$1004,5,FALSE)</f>
        <v>#N/A</v>
      </c>
    </row>
    <row r="830" spans="1:12" x14ac:dyDescent="0.2">
      <c r="A830">
        <f>'Shipment Data for Provisioning'!B835</f>
        <v>0</v>
      </c>
      <c r="B830">
        <f>'Shipment Data for Provisioning'!C835</f>
        <v>0</v>
      </c>
      <c r="C830">
        <f>'Shipment Data for Provisioning'!D835</f>
        <v>0</v>
      </c>
      <c r="D830">
        <f>'Shipment Data for Provisioning'!E835</f>
        <v>0</v>
      </c>
      <c r="E830">
        <f>'Shipment Data for Provisioning'!F835</f>
        <v>0</v>
      </c>
      <c r="F830">
        <f>'Shipment Data for Provisioning'!G835</f>
        <v>0</v>
      </c>
      <c r="G830">
        <f>'Shipment Data for Provisioning'!H835</f>
        <v>0</v>
      </c>
      <c r="H830">
        <f>'Shipment Data for Provisioning'!I835</f>
        <v>0</v>
      </c>
      <c r="I830" t="e">
        <f>VLOOKUP(B830,'Location Data'!$C$5:$G$1004,4,FALSE)</f>
        <v>#N/A</v>
      </c>
      <c r="J830" t="e">
        <f>VLOOKUP(B830,'Location Data'!$C$5:$G$1004,5,FALSE)</f>
        <v>#N/A</v>
      </c>
      <c r="K830" t="e">
        <f>VLOOKUP(C830,'Location Data'!$C$5:$G$1004,4,FALSE)</f>
        <v>#N/A</v>
      </c>
      <c r="L830" t="e">
        <f>VLOOKUP(C830,'Location Data'!$C$5:$G$1004,5,FALSE)</f>
        <v>#N/A</v>
      </c>
    </row>
    <row r="831" spans="1:12" x14ac:dyDescent="0.2">
      <c r="A831">
        <f>'Shipment Data for Provisioning'!B836</f>
        <v>0</v>
      </c>
      <c r="B831">
        <f>'Shipment Data for Provisioning'!C836</f>
        <v>0</v>
      </c>
      <c r="C831">
        <f>'Shipment Data for Provisioning'!D836</f>
        <v>0</v>
      </c>
      <c r="D831">
        <f>'Shipment Data for Provisioning'!E836</f>
        <v>0</v>
      </c>
      <c r="E831">
        <f>'Shipment Data for Provisioning'!F836</f>
        <v>0</v>
      </c>
      <c r="F831">
        <f>'Shipment Data for Provisioning'!G836</f>
        <v>0</v>
      </c>
      <c r="G831">
        <f>'Shipment Data for Provisioning'!H836</f>
        <v>0</v>
      </c>
      <c r="H831">
        <f>'Shipment Data for Provisioning'!I836</f>
        <v>0</v>
      </c>
      <c r="I831" t="e">
        <f>VLOOKUP(B831,'Location Data'!$C$5:$G$1004,4,FALSE)</f>
        <v>#N/A</v>
      </c>
      <c r="J831" t="e">
        <f>VLOOKUP(B831,'Location Data'!$C$5:$G$1004,5,FALSE)</f>
        <v>#N/A</v>
      </c>
      <c r="K831" t="e">
        <f>VLOOKUP(C831,'Location Data'!$C$5:$G$1004,4,FALSE)</f>
        <v>#N/A</v>
      </c>
      <c r="L831" t="e">
        <f>VLOOKUP(C831,'Location Data'!$C$5:$G$1004,5,FALSE)</f>
        <v>#N/A</v>
      </c>
    </row>
    <row r="832" spans="1:12" x14ac:dyDescent="0.2">
      <c r="A832">
        <f>'Shipment Data for Provisioning'!B837</f>
        <v>0</v>
      </c>
      <c r="B832">
        <f>'Shipment Data for Provisioning'!C837</f>
        <v>0</v>
      </c>
      <c r="C832">
        <f>'Shipment Data for Provisioning'!D837</f>
        <v>0</v>
      </c>
      <c r="D832">
        <f>'Shipment Data for Provisioning'!E837</f>
        <v>0</v>
      </c>
      <c r="E832">
        <f>'Shipment Data for Provisioning'!F837</f>
        <v>0</v>
      </c>
      <c r="F832">
        <f>'Shipment Data for Provisioning'!G837</f>
        <v>0</v>
      </c>
      <c r="G832">
        <f>'Shipment Data for Provisioning'!H837</f>
        <v>0</v>
      </c>
      <c r="H832">
        <f>'Shipment Data for Provisioning'!I837</f>
        <v>0</v>
      </c>
      <c r="I832" t="e">
        <f>VLOOKUP(B832,'Location Data'!$C$5:$G$1004,4,FALSE)</f>
        <v>#N/A</v>
      </c>
      <c r="J832" t="e">
        <f>VLOOKUP(B832,'Location Data'!$C$5:$G$1004,5,FALSE)</f>
        <v>#N/A</v>
      </c>
      <c r="K832" t="e">
        <f>VLOOKUP(C832,'Location Data'!$C$5:$G$1004,4,FALSE)</f>
        <v>#N/A</v>
      </c>
      <c r="L832" t="e">
        <f>VLOOKUP(C832,'Location Data'!$C$5:$G$1004,5,FALSE)</f>
        <v>#N/A</v>
      </c>
    </row>
    <row r="833" spans="1:12" x14ac:dyDescent="0.2">
      <c r="A833">
        <f>'Shipment Data for Provisioning'!B838</f>
        <v>0</v>
      </c>
      <c r="B833">
        <f>'Shipment Data for Provisioning'!C838</f>
        <v>0</v>
      </c>
      <c r="C833">
        <f>'Shipment Data for Provisioning'!D838</f>
        <v>0</v>
      </c>
      <c r="D833">
        <f>'Shipment Data for Provisioning'!E838</f>
        <v>0</v>
      </c>
      <c r="E833">
        <f>'Shipment Data for Provisioning'!F838</f>
        <v>0</v>
      </c>
      <c r="F833">
        <f>'Shipment Data for Provisioning'!G838</f>
        <v>0</v>
      </c>
      <c r="G833">
        <f>'Shipment Data for Provisioning'!H838</f>
        <v>0</v>
      </c>
      <c r="H833">
        <f>'Shipment Data for Provisioning'!I838</f>
        <v>0</v>
      </c>
      <c r="I833" t="e">
        <f>VLOOKUP(B833,'Location Data'!$C$5:$G$1004,4,FALSE)</f>
        <v>#N/A</v>
      </c>
      <c r="J833" t="e">
        <f>VLOOKUP(B833,'Location Data'!$C$5:$G$1004,5,FALSE)</f>
        <v>#N/A</v>
      </c>
      <c r="K833" t="e">
        <f>VLOOKUP(C833,'Location Data'!$C$5:$G$1004,4,FALSE)</f>
        <v>#N/A</v>
      </c>
      <c r="L833" t="e">
        <f>VLOOKUP(C833,'Location Data'!$C$5:$G$1004,5,FALSE)</f>
        <v>#N/A</v>
      </c>
    </row>
    <row r="834" spans="1:12" x14ac:dyDescent="0.2">
      <c r="A834">
        <f>'Shipment Data for Provisioning'!B839</f>
        <v>0</v>
      </c>
      <c r="B834">
        <f>'Shipment Data for Provisioning'!C839</f>
        <v>0</v>
      </c>
      <c r="C834">
        <f>'Shipment Data for Provisioning'!D839</f>
        <v>0</v>
      </c>
      <c r="D834">
        <f>'Shipment Data for Provisioning'!E839</f>
        <v>0</v>
      </c>
      <c r="E834">
        <f>'Shipment Data for Provisioning'!F839</f>
        <v>0</v>
      </c>
      <c r="F834">
        <f>'Shipment Data for Provisioning'!G839</f>
        <v>0</v>
      </c>
      <c r="G834">
        <f>'Shipment Data for Provisioning'!H839</f>
        <v>0</v>
      </c>
      <c r="H834">
        <f>'Shipment Data for Provisioning'!I839</f>
        <v>0</v>
      </c>
      <c r="I834" t="e">
        <f>VLOOKUP(B834,'Location Data'!$C$5:$G$1004,4,FALSE)</f>
        <v>#N/A</v>
      </c>
      <c r="J834" t="e">
        <f>VLOOKUP(B834,'Location Data'!$C$5:$G$1004,5,FALSE)</f>
        <v>#N/A</v>
      </c>
      <c r="K834" t="e">
        <f>VLOOKUP(C834,'Location Data'!$C$5:$G$1004,4,FALSE)</f>
        <v>#N/A</v>
      </c>
      <c r="L834" t="e">
        <f>VLOOKUP(C834,'Location Data'!$C$5:$G$1004,5,FALSE)</f>
        <v>#N/A</v>
      </c>
    </row>
    <row r="835" spans="1:12" x14ac:dyDescent="0.2">
      <c r="A835">
        <f>'Shipment Data for Provisioning'!B840</f>
        <v>0</v>
      </c>
      <c r="B835">
        <f>'Shipment Data for Provisioning'!C840</f>
        <v>0</v>
      </c>
      <c r="C835">
        <f>'Shipment Data for Provisioning'!D840</f>
        <v>0</v>
      </c>
      <c r="D835">
        <f>'Shipment Data for Provisioning'!E840</f>
        <v>0</v>
      </c>
      <c r="E835">
        <f>'Shipment Data for Provisioning'!F840</f>
        <v>0</v>
      </c>
      <c r="F835">
        <f>'Shipment Data for Provisioning'!G840</f>
        <v>0</v>
      </c>
      <c r="G835">
        <f>'Shipment Data for Provisioning'!H840</f>
        <v>0</v>
      </c>
      <c r="H835">
        <f>'Shipment Data for Provisioning'!I840</f>
        <v>0</v>
      </c>
      <c r="I835" t="e">
        <f>VLOOKUP(B835,'Location Data'!$C$5:$G$1004,4,FALSE)</f>
        <v>#N/A</v>
      </c>
      <c r="J835" t="e">
        <f>VLOOKUP(B835,'Location Data'!$C$5:$G$1004,5,FALSE)</f>
        <v>#N/A</v>
      </c>
      <c r="K835" t="e">
        <f>VLOOKUP(C835,'Location Data'!$C$5:$G$1004,4,FALSE)</f>
        <v>#N/A</v>
      </c>
      <c r="L835" t="e">
        <f>VLOOKUP(C835,'Location Data'!$C$5:$G$1004,5,FALSE)</f>
        <v>#N/A</v>
      </c>
    </row>
    <row r="836" spans="1:12" x14ac:dyDescent="0.2">
      <c r="A836">
        <f>'Shipment Data for Provisioning'!B841</f>
        <v>0</v>
      </c>
      <c r="B836">
        <f>'Shipment Data for Provisioning'!C841</f>
        <v>0</v>
      </c>
      <c r="C836">
        <f>'Shipment Data for Provisioning'!D841</f>
        <v>0</v>
      </c>
      <c r="D836">
        <f>'Shipment Data for Provisioning'!E841</f>
        <v>0</v>
      </c>
      <c r="E836">
        <f>'Shipment Data for Provisioning'!F841</f>
        <v>0</v>
      </c>
      <c r="F836">
        <f>'Shipment Data for Provisioning'!G841</f>
        <v>0</v>
      </c>
      <c r="G836">
        <f>'Shipment Data for Provisioning'!H841</f>
        <v>0</v>
      </c>
      <c r="H836">
        <f>'Shipment Data for Provisioning'!I841</f>
        <v>0</v>
      </c>
      <c r="I836" t="e">
        <f>VLOOKUP(B836,'Location Data'!$C$5:$G$1004,4,FALSE)</f>
        <v>#N/A</v>
      </c>
      <c r="J836" t="e">
        <f>VLOOKUP(B836,'Location Data'!$C$5:$G$1004,5,FALSE)</f>
        <v>#N/A</v>
      </c>
      <c r="K836" t="e">
        <f>VLOOKUP(C836,'Location Data'!$C$5:$G$1004,4,FALSE)</f>
        <v>#N/A</v>
      </c>
      <c r="L836" t="e">
        <f>VLOOKUP(C836,'Location Data'!$C$5:$G$1004,5,FALSE)</f>
        <v>#N/A</v>
      </c>
    </row>
    <row r="837" spans="1:12" x14ac:dyDescent="0.2">
      <c r="A837">
        <f>'Shipment Data for Provisioning'!B842</f>
        <v>0</v>
      </c>
      <c r="B837">
        <f>'Shipment Data for Provisioning'!C842</f>
        <v>0</v>
      </c>
      <c r="C837">
        <f>'Shipment Data for Provisioning'!D842</f>
        <v>0</v>
      </c>
      <c r="D837">
        <f>'Shipment Data for Provisioning'!E842</f>
        <v>0</v>
      </c>
      <c r="E837">
        <f>'Shipment Data for Provisioning'!F842</f>
        <v>0</v>
      </c>
      <c r="F837">
        <f>'Shipment Data for Provisioning'!G842</f>
        <v>0</v>
      </c>
      <c r="G837">
        <f>'Shipment Data for Provisioning'!H842</f>
        <v>0</v>
      </c>
      <c r="H837">
        <f>'Shipment Data for Provisioning'!I842</f>
        <v>0</v>
      </c>
      <c r="I837" t="e">
        <f>VLOOKUP(B837,'Location Data'!$C$5:$G$1004,4,FALSE)</f>
        <v>#N/A</v>
      </c>
      <c r="J837" t="e">
        <f>VLOOKUP(B837,'Location Data'!$C$5:$G$1004,5,FALSE)</f>
        <v>#N/A</v>
      </c>
      <c r="K837" t="e">
        <f>VLOOKUP(C837,'Location Data'!$C$5:$G$1004,4,FALSE)</f>
        <v>#N/A</v>
      </c>
      <c r="L837" t="e">
        <f>VLOOKUP(C837,'Location Data'!$C$5:$G$1004,5,FALSE)</f>
        <v>#N/A</v>
      </c>
    </row>
    <row r="838" spans="1:12" x14ac:dyDescent="0.2">
      <c r="A838">
        <f>'Shipment Data for Provisioning'!B843</f>
        <v>0</v>
      </c>
      <c r="B838">
        <f>'Shipment Data for Provisioning'!C843</f>
        <v>0</v>
      </c>
      <c r="C838">
        <f>'Shipment Data for Provisioning'!D843</f>
        <v>0</v>
      </c>
      <c r="D838">
        <f>'Shipment Data for Provisioning'!E843</f>
        <v>0</v>
      </c>
      <c r="E838">
        <f>'Shipment Data for Provisioning'!F843</f>
        <v>0</v>
      </c>
      <c r="F838">
        <f>'Shipment Data for Provisioning'!G843</f>
        <v>0</v>
      </c>
      <c r="G838">
        <f>'Shipment Data for Provisioning'!H843</f>
        <v>0</v>
      </c>
      <c r="H838">
        <f>'Shipment Data for Provisioning'!I843</f>
        <v>0</v>
      </c>
      <c r="I838" t="e">
        <f>VLOOKUP(B838,'Location Data'!$C$5:$G$1004,4,FALSE)</f>
        <v>#N/A</v>
      </c>
      <c r="J838" t="e">
        <f>VLOOKUP(B838,'Location Data'!$C$5:$G$1004,5,FALSE)</f>
        <v>#N/A</v>
      </c>
      <c r="K838" t="e">
        <f>VLOOKUP(C838,'Location Data'!$C$5:$G$1004,4,FALSE)</f>
        <v>#N/A</v>
      </c>
      <c r="L838" t="e">
        <f>VLOOKUP(C838,'Location Data'!$C$5:$G$1004,5,FALSE)</f>
        <v>#N/A</v>
      </c>
    </row>
    <row r="839" spans="1:12" x14ac:dyDescent="0.2">
      <c r="A839">
        <f>'Shipment Data for Provisioning'!B844</f>
        <v>0</v>
      </c>
      <c r="B839">
        <f>'Shipment Data for Provisioning'!C844</f>
        <v>0</v>
      </c>
      <c r="C839">
        <f>'Shipment Data for Provisioning'!D844</f>
        <v>0</v>
      </c>
      <c r="D839">
        <f>'Shipment Data for Provisioning'!E844</f>
        <v>0</v>
      </c>
      <c r="E839">
        <f>'Shipment Data for Provisioning'!F844</f>
        <v>0</v>
      </c>
      <c r="F839">
        <f>'Shipment Data for Provisioning'!G844</f>
        <v>0</v>
      </c>
      <c r="G839">
        <f>'Shipment Data for Provisioning'!H844</f>
        <v>0</v>
      </c>
      <c r="H839">
        <f>'Shipment Data for Provisioning'!I844</f>
        <v>0</v>
      </c>
      <c r="I839" t="e">
        <f>VLOOKUP(B839,'Location Data'!$C$5:$G$1004,4,FALSE)</f>
        <v>#N/A</v>
      </c>
      <c r="J839" t="e">
        <f>VLOOKUP(B839,'Location Data'!$C$5:$G$1004,5,FALSE)</f>
        <v>#N/A</v>
      </c>
      <c r="K839" t="e">
        <f>VLOOKUP(C839,'Location Data'!$C$5:$G$1004,4,FALSE)</f>
        <v>#N/A</v>
      </c>
      <c r="L839" t="e">
        <f>VLOOKUP(C839,'Location Data'!$C$5:$G$1004,5,FALSE)</f>
        <v>#N/A</v>
      </c>
    </row>
    <row r="840" spans="1:12" x14ac:dyDescent="0.2">
      <c r="A840">
        <f>'Shipment Data for Provisioning'!B845</f>
        <v>0</v>
      </c>
      <c r="B840">
        <f>'Shipment Data for Provisioning'!C845</f>
        <v>0</v>
      </c>
      <c r="C840">
        <f>'Shipment Data for Provisioning'!D845</f>
        <v>0</v>
      </c>
      <c r="D840">
        <f>'Shipment Data for Provisioning'!E845</f>
        <v>0</v>
      </c>
      <c r="E840">
        <f>'Shipment Data for Provisioning'!F845</f>
        <v>0</v>
      </c>
      <c r="F840">
        <f>'Shipment Data for Provisioning'!G845</f>
        <v>0</v>
      </c>
      <c r="G840">
        <f>'Shipment Data for Provisioning'!H845</f>
        <v>0</v>
      </c>
      <c r="H840">
        <f>'Shipment Data for Provisioning'!I845</f>
        <v>0</v>
      </c>
      <c r="I840" t="e">
        <f>VLOOKUP(B840,'Location Data'!$C$5:$G$1004,4,FALSE)</f>
        <v>#N/A</v>
      </c>
      <c r="J840" t="e">
        <f>VLOOKUP(B840,'Location Data'!$C$5:$G$1004,5,FALSE)</f>
        <v>#N/A</v>
      </c>
      <c r="K840" t="e">
        <f>VLOOKUP(C840,'Location Data'!$C$5:$G$1004,4,FALSE)</f>
        <v>#N/A</v>
      </c>
      <c r="L840" t="e">
        <f>VLOOKUP(C840,'Location Data'!$C$5:$G$1004,5,FALSE)</f>
        <v>#N/A</v>
      </c>
    </row>
    <row r="841" spans="1:12" x14ac:dyDescent="0.2">
      <c r="A841">
        <f>'Shipment Data for Provisioning'!B846</f>
        <v>0</v>
      </c>
      <c r="B841">
        <f>'Shipment Data for Provisioning'!C846</f>
        <v>0</v>
      </c>
      <c r="C841">
        <f>'Shipment Data for Provisioning'!D846</f>
        <v>0</v>
      </c>
      <c r="D841">
        <f>'Shipment Data for Provisioning'!E846</f>
        <v>0</v>
      </c>
      <c r="E841">
        <f>'Shipment Data for Provisioning'!F846</f>
        <v>0</v>
      </c>
      <c r="F841">
        <f>'Shipment Data for Provisioning'!G846</f>
        <v>0</v>
      </c>
      <c r="G841">
        <f>'Shipment Data for Provisioning'!H846</f>
        <v>0</v>
      </c>
      <c r="H841">
        <f>'Shipment Data for Provisioning'!I846</f>
        <v>0</v>
      </c>
      <c r="I841" t="e">
        <f>VLOOKUP(B841,'Location Data'!$C$5:$G$1004,4,FALSE)</f>
        <v>#N/A</v>
      </c>
      <c r="J841" t="e">
        <f>VLOOKUP(B841,'Location Data'!$C$5:$G$1004,5,FALSE)</f>
        <v>#N/A</v>
      </c>
      <c r="K841" t="e">
        <f>VLOOKUP(C841,'Location Data'!$C$5:$G$1004,4,FALSE)</f>
        <v>#N/A</v>
      </c>
      <c r="L841" t="e">
        <f>VLOOKUP(C841,'Location Data'!$C$5:$G$1004,5,FALSE)</f>
        <v>#N/A</v>
      </c>
    </row>
    <row r="842" spans="1:12" x14ac:dyDescent="0.2">
      <c r="A842">
        <f>'Shipment Data for Provisioning'!B847</f>
        <v>0</v>
      </c>
      <c r="B842">
        <f>'Shipment Data for Provisioning'!C847</f>
        <v>0</v>
      </c>
      <c r="C842">
        <f>'Shipment Data for Provisioning'!D847</f>
        <v>0</v>
      </c>
      <c r="D842">
        <f>'Shipment Data for Provisioning'!E847</f>
        <v>0</v>
      </c>
      <c r="E842">
        <f>'Shipment Data for Provisioning'!F847</f>
        <v>0</v>
      </c>
      <c r="F842">
        <f>'Shipment Data for Provisioning'!G847</f>
        <v>0</v>
      </c>
      <c r="G842">
        <f>'Shipment Data for Provisioning'!H847</f>
        <v>0</v>
      </c>
      <c r="H842">
        <f>'Shipment Data for Provisioning'!I847</f>
        <v>0</v>
      </c>
      <c r="I842" t="e">
        <f>VLOOKUP(B842,'Location Data'!$C$5:$G$1004,4,FALSE)</f>
        <v>#N/A</v>
      </c>
      <c r="J842" t="e">
        <f>VLOOKUP(B842,'Location Data'!$C$5:$G$1004,5,FALSE)</f>
        <v>#N/A</v>
      </c>
      <c r="K842" t="e">
        <f>VLOOKUP(C842,'Location Data'!$C$5:$G$1004,4,FALSE)</f>
        <v>#N/A</v>
      </c>
      <c r="L842" t="e">
        <f>VLOOKUP(C842,'Location Data'!$C$5:$G$1004,5,FALSE)</f>
        <v>#N/A</v>
      </c>
    </row>
    <row r="843" spans="1:12" x14ac:dyDescent="0.2">
      <c r="A843">
        <f>'Shipment Data for Provisioning'!B848</f>
        <v>0</v>
      </c>
      <c r="B843">
        <f>'Shipment Data for Provisioning'!C848</f>
        <v>0</v>
      </c>
      <c r="C843">
        <f>'Shipment Data for Provisioning'!D848</f>
        <v>0</v>
      </c>
      <c r="D843">
        <f>'Shipment Data for Provisioning'!E848</f>
        <v>0</v>
      </c>
      <c r="E843">
        <f>'Shipment Data for Provisioning'!F848</f>
        <v>0</v>
      </c>
      <c r="F843">
        <f>'Shipment Data for Provisioning'!G848</f>
        <v>0</v>
      </c>
      <c r="G843">
        <f>'Shipment Data for Provisioning'!H848</f>
        <v>0</v>
      </c>
      <c r="H843">
        <f>'Shipment Data for Provisioning'!I848</f>
        <v>0</v>
      </c>
      <c r="I843" t="e">
        <f>VLOOKUP(B843,'Location Data'!$C$5:$G$1004,4,FALSE)</f>
        <v>#N/A</v>
      </c>
      <c r="J843" t="e">
        <f>VLOOKUP(B843,'Location Data'!$C$5:$G$1004,5,FALSE)</f>
        <v>#N/A</v>
      </c>
      <c r="K843" t="e">
        <f>VLOOKUP(C843,'Location Data'!$C$5:$G$1004,4,FALSE)</f>
        <v>#N/A</v>
      </c>
      <c r="L843" t="e">
        <f>VLOOKUP(C843,'Location Data'!$C$5:$G$1004,5,FALSE)</f>
        <v>#N/A</v>
      </c>
    </row>
    <row r="844" spans="1:12" x14ac:dyDescent="0.2">
      <c r="A844">
        <f>'Shipment Data for Provisioning'!B849</f>
        <v>0</v>
      </c>
      <c r="B844">
        <f>'Shipment Data for Provisioning'!C849</f>
        <v>0</v>
      </c>
      <c r="C844">
        <f>'Shipment Data for Provisioning'!D849</f>
        <v>0</v>
      </c>
      <c r="D844">
        <f>'Shipment Data for Provisioning'!E849</f>
        <v>0</v>
      </c>
      <c r="E844">
        <f>'Shipment Data for Provisioning'!F849</f>
        <v>0</v>
      </c>
      <c r="F844">
        <f>'Shipment Data for Provisioning'!G849</f>
        <v>0</v>
      </c>
      <c r="G844">
        <f>'Shipment Data for Provisioning'!H849</f>
        <v>0</v>
      </c>
      <c r="H844">
        <f>'Shipment Data for Provisioning'!I849</f>
        <v>0</v>
      </c>
      <c r="I844" t="e">
        <f>VLOOKUP(B844,'Location Data'!$C$5:$G$1004,4,FALSE)</f>
        <v>#N/A</v>
      </c>
      <c r="J844" t="e">
        <f>VLOOKUP(B844,'Location Data'!$C$5:$G$1004,5,FALSE)</f>
        <v>#N/A</v>
      </c>
      <c r="K844" t="e">
        <f>VLOOKUP(C844,'Location Data'!$C$5:$G$1004,4,FALSE)</f>
        <v>#N/A</v>
      </c>
      <c r="L844" t="e">
        <f>VLOOKUP(C844,'Location Data'!$C$5:$G$1004,5,FALSE)</f>
        <v>#N/A</v>
      </c>
    </row>
    <row r="845" spans="1:12" x14ac:dyDescent="0.2">
      <c r="A845">
        <f>'Shipment Data for Provisioning'!B850</f>
        <v>0</v>
      </c>
      <c r="B845">
        <f>'Shipment Data for Provisioning'!C850</f>
        <v>0</v>
      </c>
      <c r="C845">
        <f>'Shipment Data for Provisioning'!D850</f>
        <v>0</v>
      </c>
      <c r="D845">
        <f>'Shipment Data for Provisioning'!E850</f>
        <v>0</v>
      </c>
      <c r="E845">
        <f>'Shipment Data for Provisioning'!F850</f>
        <v>0</v>
      </c>
      <c r="F845">
        <f>'Shipment Data for Provisioning'!G850</f>
        <v>0</v>
      </c>
      <c r="G845">
        <f>'Shipment Data for Provisioning'!H850</f>
        <v>0</v>
      </c>
      <c r="H845">
        <f>'Shipment Data for Provisioning'!I850</f>
        <v>0</v>
      </c>
      <c r="I845" t="e">
        <f>VLOOKUP(B845,'Location Data'!$C$5:$G$1004,4,FALSE)</f>
        <v>#N/A</v>
      </c>
      <c r="J845" t="e">
        <f>VLOOKUP(B845,'Location Data'!$C$5:$G$1004,5,FALSE)</f>
        <v>#N/A</v>
      </c>
      <c r="K845" t="e">
        <f>VLOOKUP(C845,'Location Data'!$C$5:$G$1004,4,FALSE)</f>
        <v>#N/A</v>
      </c>
      <c r="L845" t="e">
        <f>VLOOKUP(C845,'Location Data'!$C$5:$G$1004,5,FALSE)</f>
        <v>#N/A</v>
      </c>
    </row>
    <row r="846" spans="1:12" x14ac:dyDescent="0.2">
      <c r="A846">
        <f>'Shipment Data for Provisioning'!B851</f>
        <v>0</v>
      </c>
      <c r="B846">
        <f>'Shipment Data for Provisioning'!C851</f>
        <v>0</v>
      </c>
      <c r="C846">
        <f>'Shipment Data for Provisioning'!D851</f>
        <v>0</v>
      </c>
      <c r="D846">
        <f>'Shipment Data for Provisioning'!E851</f>
        <v>0</v>
      </c>
      <c r="E846">
        <f>'Shipment Data for Provisioning'!F851</f>
        <v>0</v>
      </c>
      <c r="F846">
        <f>'Shipment Data for Provisioning'!G851</f>
        <v>0</v>
      </c>
      <c r="G846">
        <f>'Shipment Data for Provisioning'!H851</f>
        <v>0</v>
      </c>
      <c r="H846">
        <f>'Shipment Data for Provisioning'!I851</f>
        <v>0</v>
      </c>
      <c r="I846" t="e">
        <f>VLOOKUP(B846,'Location Data'!$C$5:$G$1004,4,FALSE)</f>
        <v>#N/A</v>
      </c>
      <c r="J846" t="e">
        <f>VLOOKUP(B846,'Location Data'!$C$5:$G$1004,5,FALSE)</f>
        <v>#N/A</v>
      </c>
      <c r="K846" t="e">
        <f>VLOOKUP(C846,'Location Data'!$C$5:$G$1004,4,FALSE)</f>
        <v>#N/A</v>
      </c>
      <c r="L846" t="e">
        <f>VLOOKUP(C846,'Location Data'!$C$5:$G$1004,5,FALSE)</f>
        <v>#N/A</v>
      </c>
    </row>
    <row r="847" spans="1:12" x14ac:dyDescent="0.2">
      <c r="A847">
        <f>'Shipment Data for Provisioning'!B852</f>
        <v>0</v>
      </c>
      <c r="B847">
        <f>'Shipment Data for Provisioning'!C852</f>
        <v>0</v>
      </c>
      <c r="C847">
        <f>'Shipment Data for Provisioning'!D852</f>
        <v>0</v>
      </c>
      <c r="D847">
        <f>'Shipment Data for Provisioning'!E852</f>
        <v>0</v>
      </c>
      <c r="E847">
        <f>'Shipment Data for Provisioning'!F852</f>
        <v>0</v>
      </c>
      <c r="F847">
        <f>'Shipment Data for Provisioning'!G852</f>
        <v>0</v>
      </c>
      <c r="G847">
        <f>'Shipment Data for Provisioning'!H852</f>
        <v>0</v>
      </c>
      <c r="H847">
        <f>'Shipment Data for Provisioning'!I852</f>
        <v>0</v>
      </c>
      <c r="I847" t="e">
        <f>VLOOKUP(B847,'Location Data'!$C$5:$G$1004,4,FALSE)</f>
        <v>#N/A</v>
      </c>
      <c r="J847" t="e">
        <f>VLOOKUP(B847,'Location Data'!$C$5:$G$1004,5,FALSE)</f>
        <v>#N/A</v>
      </c>
      <c r="K847" t="e">
        <f>VLOOKUP(C847,'Location Data'!$C$5:$G$1004,4,FALSE)</f>
        <v>#N/A</v>
      </c>
      <c r="L847" t="e">
        <f>VLOOKUP(C847,'Location Data'!$C$5:$G$1004,5,FALSE)</f>
        <v>#N/A</v>
      </c>
    </row>
    <row r="848" spans="1:12" x14ac:dyDescent="0.2">
      <c r="A848">
        <f>'Shipment Data for Provisioning'!B853</f>
        <v>0</v>
      </c>
      <c r="B848">
        <f>'Shipment Data for Provisioning'!C853</f>
        <v>0</v>
      </c>
      <c r="C848">
        <f>'Shipment Data for Provisioning'!D853</f>
        <v>0</v>
      </c>
      <c r="D848">
        <f>'Shipment Data for Provisioning'!E853</f>
        <v>0</v>
      </c>
      <c r="E848">
        <f>'Shipment Data for Provisioning'!F853</f>
        <v>0</v>
      </c>
      <c r="F848">
        <f>'Shipment Data for Provisioning'!G853</f>
        <v>0</v>
      </c>
      <c r="G848">
        <f>'Shipment Data for Provisioning'!H853</f>
        <v>0</v>
      </c>
      <c r="H848">
        <f>'Shipment Data for Provisioning'!I853</f>
        <v>0</v>
      </c>
      <c r="I848" t="e">
        <f>VLOOKUP(B848,'Location Data'!$C$5:$G$1004,4,FALSE)</f>
        <v>#N/A</v>
      </c>
      <c r="J848" t="e">
        <f>VLOOKUP(B848,'Location Data'!$C$5:$G$1004,5,FALSE)</f>
        <v>#N/A</v>
      </c>
      <c r="K848" t="e">
        <f>VLOOKUP(C848,'Location Data'!$C$5:$G$1004,4,FALSE)</f>
        <v>#N/A</v>
      </c>
      <c r="L848" t="e">
        <f>VLOOKUP(C848,'Location Data'!$C$5:$G$1004,5,FALSE)</f>
        <v>#N/A</v>
      </c>
    </row>
    <row r="849" spans="1:12" x14ac:dyDescent="0.2">
      <c r="A849">
        <f>'Shipment Data for Provisioning'!B854</f>
        <v>0</v>
      </c>
      <c r="B849">
        <f>'Shipment Data for Provisioning'!C854</f>
        <v>0</v>
      </c>
      <c r="C849">
        <f>'Shipment Data for Provisioning'!D854</f>
        <v>0</v>
      </c>
      <c r="D849">
        <f>'Shipment Data for Provisioning'!E854</f>
        <v>0</v>
      </c>
      <c r="E849">
        <f>'Shipment Data for Provisioning'!F854</f>
        <v>0</v>
      </c>
      <c r="F849">
        <f>'Shipment Data for Provisioning'!G854</f>
        <v>0</v>
      </c>
      <c r="G849">
        <f>'Shipment Data for Provisioning'!H854</f>
        <v>0</v>
      </c>
      <c r="H849">
        <f>'Shipment Data for Provisioning'!I854</f>
        <v>0</v>
      </c>
      <c r="I849" t="e">
        <f>VLOOKUP(B849,'Location Data'!$C$5:$G$1004,4,FALSE)</f>
        <v>#N/A</v>
      </c>
      <c r="J849" t="e">
        <f>VLOOKUP(B849,'Location Data'!$C$5:$G$1004,5,FALSE)</f>
        <v>#N/A</v>
      </c>
      <c r="K849" t="e">
        <f>VLOOKUP(C849,'Location Data'!$C$5:$G$1004,4,FALSE)</f>
        <v>#N/A</v>
      </c>
      <c r="L849" t="e">
        <f>VLOOKUP(C849,'Location Data'!$C$5:$G$1004,5,FALSE)</f>
        <v>#N/A</v>
      </c>
    </row>
    <row r="850" spans="1:12" x14ac:dyDescent="0.2">
      <c r="A850">
        <f>'Shipment Data for Provisioning'!B855</f>
        <v>0</v>
      </c>
      <c r="B850">
        <f>'Shipment Data for Provisioning'!C855</f>
        <v>0</v>
      </c>
      <c r="C850">
        <f>'Shipment Data for Provisioning'!D855</f>
        <v>0</v>
      </c>
      <c r="D850">
        <f>'Shipment Data for Provisioning'!E855</f>
        <v>0</v>
      </c>
      <c r="E850">
        <f>'Shipment Data for Provisioning'!F855</f>
        <v>0</v>
      </c>
      <c r="F850">
        <f>'Shipment Data for Provisioning'!G855</f>
        <v>0</v>
      </c>
      <c r="G850">
        <f>'Shipment Data for Provisioning'!H855</f>
        <v>0</v>
      </c>
      <c r="H850">
        <f>'Shipment Data for Provisioning'!I855</f>
        <v>0</v>
      </c>
      <c r="I850" t="e">
        <f>VLOOKUP(B850,'Location Data'!$C$5:$G$1004,4,FALSE)</f>
        <v>#N/A</v>
      </c>
      <c r="J850" t="e">
        <f>VLOOKUP(B850,'Location Data'!$C$5:$G$1004,5,FALSE)</f>
        <v>#N/A</v>
      </c>
      <c r="K850" t="e">
        <f>VLOOKUP(C850,'Location Data'!$C$5:$G$1004,4,FALSE)</f>
        <v>#N/A</v>
      </c>
      <c r="L850" t="e">
        <f>VLOOKUP(C850,'Location Data'!$C$5:$G$1004,5,FALSE)</f>
        <v>#N/A</v>
      </c>
    </row>
    <row r="851" spans="1:12" x14ac:dyDescent="0.2">
      <c r="A851">
        <f>'Shipment Data for Provisioning'!B856</f>
        <v>0</v>
      </c>
      <c r="B851">
        <f>'Shipment Data for Provisioning'!C856</f>
        <v>0</v>
      </c>
      <c r="C851">
        <f>'Shipment Data for Provisioning'!D856</f>
        <v>0</v>
      </c>
      <c r="D851">
        <f>'Shipment Data for Provisioning'!E856</f>
        <v>0</v>
      </c>
      <c r="E851">
        <f>'Shipment Data for Provisioning'!F856</f>
        <v>0</v>
      </c>
      <c r="F851">
        <f>'Shipment Data for Provisioning'!G856</f>
        <v>0</v>
      </c>
      <c r="G851">
        <f>'Shipment Data for Provisioning'!H856</f>
        <v>0</v>
      </c>
      <c r="H851">
        <f>'Shipment Data for Provisioning'!I856</f>
        <v>0</v>
      </c>
      <c r="I851" t="e">
        <f>VLOOKUP(B851,'Location Data'!$C$5:$G$1004,4,FALSE)</f>
        <v>#N/A</v>
      </c>
      <c r="J851" t="e">
        <f>VLOOKUP(B851,'Location Data'!$C$5:$G$1004,5,FALSE)</f>
        <v>#N/A</v>
      </c>
      <c r="K851" t="e">
        <f>VLOOKUP(C851,'Location Data'!$C$5:$G$1004,4,FALSE)</f>
        <v>#N/A</v>
      </c>
      <c r="L851" t="e">
        <f>VLOOKUP(C851,'Location Data'!$C$5:$G$1004,5,FALSE)</f>
        <v>#N/A</v>
      </c>
    </row>
    <row r="852" spans="1:12" x14ac:dyDescent="0.2">
      <c r="A852">
        <f>'Shipment Data for Provisioning'!B857</f>
        <v>0</v>
      </c>
      <c r="B852">
        <f>'Shipment Data for Provisioning'!C857</f>
        <v>0</v>
      </c>
      <c r="C852">
        <f>'Shipment Data for Provisioning'!D857</f>
        <v>0</v>
      </c>
      <c r="D852">
        <f>'Shipment Data for Provisioning'!E857</f>
        <v>0</v>
      </c>
      <c r="E852">
        <f>'Shipment Data for Provisioning'!F857</f>
        <v>0</v>
      </c>
      <c r="F852">
        <f>'Shipment Data for Provisioning'!G857</f>
        <v>0</v>
      </c>
      <c r="G852">
        <f>'Shipment Data for Provisioning'!H857</f>
        <v>0</v>
      </c>
      <c r="H852">
        <f>'Shipment Data for Provisioning'!I857</f>
        <v>0</v>
      </c>
      <c r="I852" t="e">
        <f>VLOOKUP(B852,'Location Data'!$C$5:$G$1004,4,FALSE)</f>
        <v>#N/A</v>
      </c>
      <c r="J852" t="e">
        <f>VLOOKUP(B852,'Location Data'!$C$5:$G$1004,5,FALSE)</f>
        <v>#N/A</v>
      </c>
      <c r="K852" t="e">
        <f>VLOOKUP(C852,'Location Data'!$C$5:$G$1004,4,FALSE)</f>
        <v>#N/A</v>
      </c>
      <c r="L852" t="e">
        <f>VLOOKUP(C852,'Location Data'!$C$5:$G$1004,5,FALSE)</f>
        <v>#N/A</v>
      </c>
    </row>
    <row r="853" spans="1:12" x14ac:dyDescent="0.2">
      <c r="A853">
        <f>'Shipment Data for Provisioning'!B858</f>
        <v>0</v>
      </c>
      <c r="B853">
        <f>'Shipment Data for Provisioning'!C858</f>
        <v>0</v>
      </c>
      <c r="C853">
        <f>'Shipment Data for Provisioning'!D858</f>
        <v>0</v>
      </c>
      <c r="D853">
        <f>'Shipment Data for Provisioning'!E858</f>
        <v>0</v>
      </c>
      <c r="E853">
        <f>'Shipment Data for Provisioning'!F858</f>
        <v>0</v>
      </c>
      <c r="F853">
        <f>'Shipment Data for Provisioning'!G858</f>
        <v>0</v>
      </c>
      <c r="G853">
        <f>'Shipment Data for Provisioning'!H858</f>
        <v>0</v>
      </c>
      <c r="H853">
        <f>'Shipment Data for Provisioning'!I858</f>
        <v>0</v>
      </c>
      <c r="I853" t="e">
        <f>VLOOKUP(B853,'Location Data'!$C$5:$G$1004,4,FALSE)</f>
        <v>#N/A</v>
      </c>
      <c r="J853" t="e">
        <f>VLOOKUP(B853,'Location Data'!$C$5:$G$1004,5,FALSE)</f>
        <v>#N/A</v>
      </c>
      <c r="K853" t="e">
        <f>VLOOKUP(C853,'Location Data'!$C$5:$G$1004,4,FALSE)</f>
        <v>#N/A</v>
      </c>
      <c r="L853" t="e">
        <f>VLOOKUP(C853,'Location Data'!$C$5:$G$1004,5,FALSE)</f>
        <v>#N/A</v>
      </c>
    </row>
    <row r="854" spans="1:12" x14ac:dyDescent="0.2">
      <c r="A854">
        <f>'Shipment Data for Provisioning'!B859</f>
        <v>0</v>
      </c>
      <c r="B854">
        <f>'Shipment Data for Provisioning'!C859</f>
        <v>0</v>
      </c>
      <c r="C854">
        <f>'Shipment Data for Provisioning'!D859</f>
        <v>0</v>
      </c>
      <c r="D854">
        <f>'Shipment Data for Provisioning'!E859</f>
        <v>0</v>
      </c>
      <c r="E854">
        <f>'Shipment Data for Provisioning'!F859</f>
        <v>0</v>
      </c>
      <c r="F854">
        <f>'Shipment Data for Provisioning'!G859</f>
        <v>0</v>
      </c>
      <c r="G854">
        <f>'Shipment Data for Provisioning'!H859</f>
        <v>0</v>
      </c>
      <c r="H854">
        <f>'Shipment Data for Provisioning'!I859</f>
        <v>0</v>
      </c>
      <c r="I854" t="e">
        <f>VLOOKUP(B854,'Location Data'!$C$5:$G$1004,4,FALSE)</f>
        <v>#N/A</v>
      </c>
      <c r="J854" t="e">
        <f>VLOOKUP(B854,'Location Data'!$C$5:$G$1004,5,FALSE)</f>
        <v>#N/A</v>
      </c>
      <c r="K854" t="e">
        <f>VLOOKUP(C854,'Location Data'!$C$5:$G$1004,4,FALSE)</f>
        <v>#N/A</v>
      </c>
      <c r="L854" t="e">
        <f>VLOOKUP(C854,'Location Data'!$C$5:$G$1004,5,FALSE)</f>
        <v>#N/A</v>
      </c>
    </row>
    <row r="855" spans="1:12" x14ac:dyDescent="0.2">
      <c r="A855">
        <f>'Shipment Data for Provisioning'!B860</f>
        <v>0</v>
      </c>
      <c r="B855">
        <f>'Shipment Data for Provisioning'!C860</f>
        <v>0</v>
      </c>
      <c r="C855">
        <f>'Shipment Data for Provisioning'!D860</f>
        <v>0</v>
      </c>
      <c r="D855">
        <f>'Shipment Data for Provisioning'!E860</f>
        <v>0</v>
      </c>
      <c r="E855">
        <f>'Shipment Data for Provisioning'!F860</f>
        <v>0</v>
      </c>
      <c r="F855">
        <f>'Shipment Data for Provisioning'!G860</f>
        <v>0</v>
      </c>
      <c r="G855">
        <f>'Shipment Data for Provisioning'!H860</f>
        <v>0</v>
      </c>
      <c r="H855">
        <f>'Shipment Data for Provisioning'!I860</f>
        <v>0</v>
      </c>
      <c r="I855" t="e">
        <f>VLOOKUP(B855,'Location Data'!$C$5:$G$1004,4,FALSE)</f>
        <v>#N/A</v>
      </c>
      <c r="J855" t="e">
        <f>VLOOKUP(B855,'Location Data'!$C$5:$G$1004,5,FALSE)</f>
        <v>#N/A</v>
      </c>
      <c r="K855" t="e">
        <f>VLOOKUP(C855,'Location Data'!$C$5:$G$1004,4,FALSE)</f>
        <v>#N/A</v>
      </c>
      <c r="L855" t="e">
        <f>VLOOKUP(C855,'Location Data'!$C$5:$G$1004,5,FALSE)</f>
        <v>#N/A</v>
      </c>
    </row>
    <row r="856" spans="1:12" x14ac:dyDescent="0.2">
      <c r="A856">
        <f>'Shipment Data for Provisioning'!B861</f>
        <v>0</v>
      </c>
      <c r="B856">
        <f>'Shipment Data for Provisioning'!C861</f>
        <v>0</v>
      </c>
      <c r="C856">
        <f>'Shipment Data for Provisioning'!D861</f>
        <v>0</v>
      </c>
      <c r="D856">
        <f>'Shipment Data for Provisioning'!E861</f>
        <v>0</v>
      </c>
      <c r="E856">
        <f>'Shipment Data for Provisioning'!F861</f>
        <v>0</v>
      </c>
      <c r="F856">
        <f>'Shipment Data for Provisioning'!G861</f>
        <v>0</v>
      </c>
      <c r="G856">
        <f>'Shipment Data for Provisioning'!H861</f>
        <v>0</v>
      </c>
      <c r="H856">
        <f>'Shipment Data for Provisioning'!I861</f>
        <v>0</v>
      </c>
      <c r="I856" t="e">
        <f>VLOOKUP(B856,'Location Data'!$C$5:$G$1004,4,FALSE)</f>
        <v>#N/A</v>
      </c>
      <c r="J856" t="e">
        <f>VLOOKUP(B856,'Location Data'!$C$5:$G$1004,5,FALSE)</f>
        <v>#N/A</v>
      </c>
      <c r="K856" t="e">
        <f>VLOOKUP(C856,'Location Data'!$C$5:$G$1004,4,FALSE)</f>
        <v>#N/A</v>
      </c>
      <c r="L856" t="e">
        <f>VLOOKUP(C856,'Location Data'!$C$5:$G$1004,5,FALSE)</f>
        <v>#N/A</v>
      </c>
    </row>
    <row r="857" spans="1:12" x14ac:dyDescent="0.2">
      <c r="A857">
        <f>'Shipment Data for Provisioning'!B862</f>
        <v>0</v>
      </c>
      <c r="B857">
        <f>'Shipment Data for Provisioning'!C862</f>
        <v>0</v>
      </c>
      <c r="C857">
        <f>'Shipment Data for Provisioning'!D862</f>
        <v>0</v>
      </c>
      <c r="D857">
        <f>'Shipment Data for Provisioning'!E862</f>
        <v>0</v>
      </c>
      <c r="E857">
        <f>'Shipment Data for Provisioning'!F862</f>
        <v>0</v>
      </c>
      <c r="F857">
        <f>'Shipment Data for Provisioning'!G862</f>
        <v>0</v>
      </c>
      <c r="G857">
        <f>'Shipment Data for Provisioning'!H862</f>
        <v>0</v>
      </c>
      <c r="H857">
        <f>'Shipment Data for Provisioning'!I862</f>
        <v>0</v>
      </c>
      <c r="I857" t="e">
        <f>VLOOKUP(B857,'Location Data'!$C$5:$G$1004,4,FALSE)</f>
        <v>#N/A</v>
      </c>
      <c r="J857" t="e">
        <f>VLOOKUP(B857,'Location Data'!$C$5:$G$1004,5,FALSE)</f>
        <v>#N/A</v>
      </c>
      <c r="K857" t="e">
        <f>VLOOKUP(C857,'Location Data'!$C$5:$G$1004,4,FALSE)</f>
        <v>#N/A</v>
      </c>
      <c r="L857" t="e">
        <f>VLOOKUP(C857,'Location Data'!$C$5:$G$1004,5,FALSE)</f>
        <v>#N/A</v>
      </c>
    </row>
    <row r="858" spans="1:12" x14ac:dyDescent="0.2">
      <c r="A858">
        <f>'Shipment Data for Provisioning'!B863</f>
        <v>0</v>
      </c>
      <c r="B858">
        <f>'Shipment Data for Provisioning'!C863</f>
        <v>0</v>
      </c>
      <c r="C858">
        <f>'Shipment Data for Provisioning'!D863</f>
        <v>0</v>
      </c>
      <c r="D858">
        <f>'Shipment Data for Provisioning'!E863</f>
        <v>0</v>
      </c>
      <c r="E858">
        <f>'Shipment Data for Provisioning'!F863</f>
        <v>0</v>
      </c>
      <c r="F858">
        <f>'Shipment Data for Provisioning'!G863</f>
        <v>0</v>
      </c>
      <c r="G858">
        <f>'Shipment Data for Provisioning'!H863</f>
        <v>0</v>
      </c>
      <c r="H858">
        <f>'Shipment Data for Provisioning'!I863</f>
        <v>0</v>
      </c>
      <c r="I858" t="e">
        <f>VLOOKUP(B858,'Location Data'!$C$5:$G$1004,4,FALSE)</f>
        <v>#N/A</v>
      </c>
      <c r="J858" t="e">
        <f>VLOOKUP(B858,'Location Data'!$C$5:$G$1004,5,FALSE)</f>
        <v>#N/A</v>
      </c>
      <c r="K858" t="e">
        <f>VLOOKUP(C858,'Location Data'!$C$5:$G$1004,4,FALSE)</f>
        <v>#N/A</v>
      </c>
      <c r="L858" t="e">
        <f>VLOOKUP(C858,'Location Data'!$C$5:$G$1004,5,FALSE)</f>
        <v>#N/A</v>
      </c>
    </row>
    <row r="859" spans="1:12" x14ac:dyDescent="0.2">
      <c r="A859">
        <f>'Shipment Data for Provisioning'!B864</f>
        <v>0</v>
      </c>
      <c r="B859">
        <f>'Shipment Data for Provisioning'!C864</f>
        <v>0</v>
      </c>
      <c r="C859">
        <f>'Shipment Data for Provisioning'!D864</f>
        <v>0</v>
      </c>
      <c r="D859">
        <f>'Shipment Data for Provisioning'!E864</f>
        <v>0</v>
      </c>
      <c r="E859">
        <f>'Shipment Data for Provisioning'!F864</f>
        <v>0</v>
      </c>
      <c r="F859">
        <f>'Shipment Data for Provisioning'!G864</f>
        <v>0</v>
      </c>
      <c r="G859">
        <f>'Shipment Data for Provisioning'!H864</f>
        <v>0</v>
      </c>
      <c r="H859">
        <f>'Shipment Data for Provisioning'!I864</f>
        <v>0</v>
      </c>
      <c r="I859" t="e">
        <f>VLOOKUP(B859,'Location Data'!$C$5:$G$1004,4,FALSE)</f>
        <v>#N/A</v>
      </c>
      <c r="J859" t="e">
        <f>VLOOKUP(B859,'Location Data'!$C$5:$G$1004,5,FALSE)</f>
        <v>#N/A</v>
      </c>
      <c r="K859" t="e">
        <f>VLOOKUP(C859,'Location Data'!$C$5:$G$1004,4,FALSE)</f>
        <v>#N/A</v>
      </c>
      <c r="L859" t="e">
        <f>VLOOKUP(C859,'Location Data'!$C$5:$G$1004,5,FALSE)</f>
        <v>#N/A</v>
      </c>
    </row>
    <row r="860" spans="1:12" x14ac:dyDescent="0.2">
      <c r="A860">
        <f>'Shipment Data for Provisioning'!B865</f>
        <v>0</v>
      </c>
      <c r="B860">
        <f>'Shipment Data for Provisioning'!C865</f>
        <v>0</v>
      </c>
      <c r="C860">
        <f>'Shipment Data for Provisioning'!D865</f>
        <v>0</v>
      </c>
      <c r="D860">
        <f>'Shipment Data for Provisioning'!E865</f>
        <v>0</v>
      </c>
      <c r="E860">
        <f>'Shipment Data for Provisioning'!F865</f>
        <v>0</v>
      </c>
      <c r="F860">
        <f>'Shipment Data for Provisioning'!G865</f>
        <v>0</v>
      </c>
      <c r="G860">
        <f>'Shipment Data for Provisioning'!H865</f>
        <v>0</v>
      </c>
      <c r="H860">
        <f>'Shipment Data for Provisioning'!I865</f>
        <v>0</v>
      </c>
      <c r="I860" t="e">
        <f>VLOOKUP(B860,'Location Data'!$C$5:$G$1004,4,FALSE)</f>
        <v>#N/A</v>
      </c>
      <c r="J860" t="e">
        <f>VLOOKUP(B860,'Location Data'!$C$5:$G$1004,5,FALSE)</f>
        <v>#N/A</v>
      </c>
      <c r="K860" t="e">
        <f>VLOOKUP(C860,'Location Data'!$C$5:$G$1004,4,FALSE)</f>
        <v>#N/A</v>
      </c>
      <c r="L860" t="e">
        <f>VLOOKUP(C860,'Location Data'!$C$5:$G$1004,5,FALSE)</f>
        <v>#N/A</v>
      </c>
    </row>
    <row r="861" spans="1:12" x14ac:dyDescent="0.2">
      <c r="A861">
        <f>'Shipment Data for Provisioning'!B866</f>
        <v>0</v>
      </c>
      <c r="B861">
        <f>'Shipment Data for Provisioning'!C866</f>
        <v>0</v>
      </c>
      <c r="C861">
        <f>'Shipment Data for Provisioning'!D866</f>
        <v>0</v>
      </c>
      <c r="D861">
        <f>'Shipment Data for Provisioning'!E866</f>
        <v>0</v>
      </c>
      <c r="E861">
        <f>'Shipment Data for Provisioning'!F866</f>
        <v>0</v>
      </c>
      <c r="F861">
        <f>'Shipment Data for Provisioning'!G866</f>
        <v>0</v>
      </c>
      <c r="G861">
        <f>'Shipment Data for Provisioning'!H866</f>
        <v>0</v>
      </c>
      <c r="H861">
        <f>'Shipment Data for Provisioning'!I866</f>
        <v>0</v>
      </c>
      <c r="I861" t="e">
        <f>VLOOKUP(B861,'Location Data'!$C$5:$G$1004,4,FALSE)</f>
        <v>#N/A</v>
      </c>
      <c r="J861" t="e">
        <f>VLOOKUP(B861,'Location Data'!$C$5:$G$1004,5,FALSE)</f>
        <v>#N/A</v>
      </c>
      <c r="K861" t="e">
        <f>VLOOKUP(C861,'Location Data'!$C$5:$G$1004,4,FALSE)</f>
        <v>#N/A</v>
      </c>
      <c r="L861" t="e">
        <f>VLOOKUP(C861,'Location Data'!$C$5:$G$1004,5,FALSE)</f>
        <v>#N/A</v>
      </c>
    </row>
    <row r="862" spans="1:12" x14ac:dyDescent="0.2">
      <c r="A862">
        <f>'Shipment Data for Provisioning'!B867</f>
        <v>0</v>
      </c>
      <c r="B862">
        <f>'Shipment Data for Provisioning'!C867</f>
        <v>0</v>
      </c>
      <c r="C862">
        <f>'Shipment Data for Provisioning'!D867</f>
        <v>0</v>
      </c>
      <c r="D862">
        <f>'Shipment Data for Provisioning'!E867</f>
        <v>0</v>
      </c>
      <c r="E862">
        <f>'Shipment Data for Provisioning'!F867</f>
        <v>0</v>
      </c>
      <c r="F862">
        <f>'Shipment Data for Provisioning'!G867</f>
        <v>0</v>
      </c>
      <c r="G862">
        <f>'Shipment Data for Provisioning'!H867</f>
        <v>0</v>
      </c>
      <c r="H862">
        <f>'Shipment Data for Provisioning'!I867</f>
        <v>0</v>
      </c>
      <c r="I862" t="e">
        <f>VLOOKUP(B862,'Location Data'!$C$5:$G$1004,4,FALSE)</f>
        <v>#N/A</v>
      </c>
      <c r="J862" t="e">
        <f>VLOOKUP(B862,'Location Data'!$C$5:$G$1004,5,FALSE)</f>
        <v>#N/A</v>
      </c>
      <c r="K862" t="e">
        <f>VLOOKUP(C862,'Location Data'!$C$5:$G$1004,4,FALSE)</f>
        <v>#N/A</v>
      </c>
      <c r="L862" t="e">
        <f>VLOOKUP(C862,'Location Data'!$C$5:$G$1004,5,FALSE)</f>
        <v>#N/A</v>
      </c>
    </row>
    <row r="863" spans="1:12" x14ac:dyDescent="0.2">
      <c r="A863">
        <f>'Shipment Data for Provisioning'!B868</f>
        <v>0</v>
      </c>
      <c r="B863">
        <f>'Shipment Data for Provisioning'!C868</f>
        <v>0</v>
      </c>
      <c r="C863">
        <f>'Shipment Data for Provisioning'!D868</f>
        <v>0</v>
      </c>
      <c r="D863">
        <f>'Shipment Data for Provisioning'!E868</f>
        <v>0</v>
      </c>
      <c r="E863">
        <f>'Shipment Data for Provisioning'!F868</f>
        <v>0</v>
      </c>
      <c r="F863">
        <f>'Shipment Data for Provisioning'!G868</f>
        <v>0</v>
      </c>
      <c r="G863">
        <f>'Shipment Data for Provisioning'!H868</f>
        <v>0</v>
      </c>
      <c r="H863">
        <f>'Shipment Data for Provisioning'!I868</f>
        <v>0</v>
      </c>
      <c r="I863" t="e">
        <f>VLOOKUP(B863,'Location Data'!$C$5:$G$1004,4,FALSE)</f>
        <v>#N/A</v>
      </c>
      <c r="J863" t="e">
        <f>VLOOKUP(B863,'Location Data'!$C$5:$G$1004,5,FALSE)</f>
        <v>#N/A</v>
      </c>
      <c r="K863" t="e">
        <f>VLOOKUP(C863,'Location Data'!$C$5:$G$1004,4,FALSE)</f>
        <v>#N/A</v>
      </c>
      <c r="L863" t="e">
        <f>VLOOKUP(C863,'Location Data'!$C$5:$G$1004,5,FALSE)</f>
        <v>#N/A</v>
      </c>
    </row>
    <row r="864" spans="1:12" x14ac:dyDescent="0.2">
      <c r="A864">
        <f>'Shipment Data for Provisioning'!B869</f>
        <v>0</v>
      </c>
      <c r="B864">
        <f>'Shipment Data for Provisioning'!C869</f>
        <v>0</v>
      </c>
      <c r="C864">
        <f>'Shipment Data for Provisioning'!D869</f>
        <v>0</v>
      </c>
      <c r="D864">
        <f>'Shipment Data for Provisioning'!E869</f>
        <v>0</v>
      </c>
      <c r="E864">
        <f>'Shipment Data for Provisioning'!F869</f>
        <v>0</v>
      </c>
      <c r="F864">
        <f>'Shipment Data for Provisioning'!G869</f>
        <v>0</v>
      </c>
      <c r="G864">
        <f>'Shipment Data for Provisioning'!H869</f>
        <v>0</v>
      </c>
      <c r="H864">
        <f>'Shipment Data for Provisioning'!I869</f>
        <v>0</v>
      </c>
      <c r="I864" t="e">
        <f>VLOOKUP(B864,'Location Data'!$C$5:$G$1004,4,FALSE)</f>
        <v>#N/A</v>
      </c>
      <c r="J864" t="e">
        <f>VLOOKUP(B864,'Location Data'!$C$5:$G$1004,5,FALSE)</f>
        <v>#N/A</v>
      </c>
      <c r="K864" t="e">
        <f>VLOOKUP(C864,'Location Data'!$C$5:$G$1004,4,FALSE)</f>
        <v>#N/A</v>
      </c>
      <c r="L864" t="e">
        <f>VLOOKUP(C864,'Location Data'!$C$5:$G$1004,5,FALSE)</f>
        <v>#N/A</v>
      </c>
    </row>
    <row r="865" spans="1:12" x14ac:dyDescent="0.2">
      <c r="A865">
        <f>'Shipment Data for Provisioning'!B870</f>
        <v>0</v>
      </c>
      <c r="B865">
        <f>'Shipment Data for Provisioning'!C870</f>
        <v>0</v>
      </c>
      <c r="C865">
        <f>'Shipment Data for Provisioning'!D870</f>
        <v>0</v>
      </c>
      <c r="D865">
        <f>'Shipment Data for Provisioning'!E870</f>
        <v>0</v>
      </c>
      <c r="E865">
        <f>'Shipment Data for Provisioning'!F870</f>
        <v>0</v>
      </c>
      <c r="F865">
        <f>'Shipment Data for Provisioning'!G870</f>
        <v>0</v>
      </c>
      <c r="G865">
        <f>'Shipment Data for Provisioning'!H870</f>
        <v>0</v>
      </c>
      <c r="H865">
        <f>'Shipment Data for Provisioning'!I870</f>
        <v>0</v>
      </c>
      <c r="I865" t="e">
        <f>VLOOKUP(B865,'Location Data'!$C$5:$G$1004,4,FALSE)</f>
        <v>#N/A</v>
      </c>
      <c r="J865" t="e">
        <f>VLOOKUP(B865,'Location Data'!$C$5:$G$1004,5,FALSE)</f>
        <v>#N/A</v>
      </c>
      <c r="K865" t="e">
        <f>VLOOKUP(C865,'Location Data'!$C$5:$G$1004,4,FALSE)</f>
        <v>#N/A</v>
      </c>
      <c r="L865" t="e">
        <f>VLOOKUP(C865,'Location Data'!$C$5:$G$1004,5,FALSE)</f>
        <v>#N/A</v>
      </c>
    </row>
    <row r="866" spans="1:12" x14ac:dyDescent="0.2">
      <c r="A866">
        <f>'Shipment Data for Provisioning'!B871</f>
        <v>0</v>
      </c>
      <c r="B866">
        <f>'Shipment Data for Provisioning'!C871</f>
        <v>0</v>
      </c>
      <c r="C866">
        <f>'Shipment Data for Provisioning'!D871</f>
        <v>0</v>
      </c>
      <c r="D866">
        <f>'Shipment Data for Provisioning'!E871</f>
        <v>0</v>
      </c>
      <c r="E866">
        <f>'Shipment Data for Provisioning'!F871</f>
        <v>0</v>
      </c>
      <c r="F866">
        <f>'Shipment Data for Provisioning'!G871</f>
        <v>0</v>
      </c>
      <c r="G866">
        <f>'Shipment Data for Provisioning'!H871</f>
        <v>0</v>
      </c>
      <c r="H866">
        <f>'Shipment Data for Provisioning'!I871</f>
        <v>0</v>
      </c>
      <c r="I866" t="e">
        <f>VLOOKUP(B866,'Location Data'!$C$5:$G$1004,4,FALSE)</f>
        <v>#N/A</v>
      </c>
      <c r="J866" t="e">
        <f>VLOOKUP(B866,'Location Data'!$C$5:$G$1004,5,FALSE)</f>
        <v>#N/A</v>
      </c>
      <c r="K866" t="e">
        <f>VLOOKUP(C866,'Location Data'!$C$5:$G$1004,4,FALSE)</f>
        <v>#N/A</v>
      </c>
      <c r="L866" t="e">
        <f>VLOOKUP(C866,'Location Data'!$C$5:$G$1004,5,FALSE)</f>
        <v>#N/A</v>
      </c>
    </row>
    <row r="867" spans="1:12" x14ac:dyDescent="0.2">
      <c r="A867">
        <f>'Shipment Data for Provisioning'!B872</f>
        <v>0</v>
      </c>
      <c r="B867">
        <f>'Shipment Data for Provisioning'!C872</f>
        <v>0</v>
      </c>
      <c r="C867">
        <f>'Shipment Data for Provisioning'!D872</f>
        <v>0</v>
      </c>
      <c r="D867">
        <f>'Shipment Data for Provisioning'!E872</f>
        <v>0</v>
      </c>
      <c r="E867">
        <f>'Shipment Data for Provisioning'!F872</f>
        <v>0</v>
      </c>
      <c r="F867">
        <f>'Shipment Data for Provisioning'!G872</f>
        <v>0</v>
      </c>
      <c r="G867">
        <f>'Shipment Data for Provisioning'!H872</f>
        <v>0</v>
      </c>
      <c r="H867">
        <f>'Shipment Data for Provisioning'!I872</f>
        <v>0</v>
      </c>
      <c r="I867" t="e">
        <f>VLOOKUP(B867,'Location Data'!$C$5:$G$1004,4,FALSE)</f>
        <v>#N/A</v>
      </c>
      <c r="J867" t="e">
        <f>VLOOKUP(B867,'Location Data'!$C$5:$G$1004,5,FALSE)</f>
        <v>#N/A</v>
      </c>
      <c r="K867" t="e">
        <f>VLOOKUP(C867,'Location Data'!$C$5:$G$1004,4,FALSE)</f>
        <v>#N/A</v>
      </c>
      <c r="L867" t="e">
        <f>VLOOKUP(C867,'Location Data'!$C$5:$G$1004,5,FALSE)</f>
        <v>#N/A</v>
      </c>
    </row>
    <row r="868" spans="1:12" x14ac:dyDescent="0.2">
      <c r="A868">
        <f>'Shipment Data for Provisioning'!B873</f>
        <v>0</v>
      </c>
      <c r="B868">
        <f>'Shipment Data for Provisioning'!C873</f>
        <v>0</v>
      </c>
      <c r="C868">
        <f>'Shipment Data for Provisioning'!D873</f>
        <v>0</v>
      </c>
      <c r="D868">
        <f>'Shipment Data for Provisioning'!E873</f>
        <v>0</v>
      </c>
      <c r="E868">
        <f>'Shipment Data for Provisioning'!F873</f>
        <v>0</v>
      </c>
      <c r="F868">
        <f>'Shipment Data for Provisioning'!G873</f>
        <v>0</v>
      </c>
      <c r="G868">
        <f>'Shipment Data for Provisioning'!H873</f>
        <v>0</v>
      </c>
      <c r="H868">
        <f>'Shipment Data for Provisioning'!I873</f>
        <v>0</v>
      </c>
      <c r="I868" t="e">
        <f>VLOOKUP(B868,'Location Data'!$C$5:$G$1004,4,FALSE)</f>
        <v>#N/A</v>
      </c>
      <c r="J868" t="e">
        <f>VLOOKUP(B868,'Location Data'!$C$5:$G$1004,5,FALSE)</f>
        <v>#N/A</v>
      </c>
      <c r="K868" t="e">
        <f>VLOOKUP(C868,'Location Data'!$C$5:$G$1004,4,FALSE)</f>
        <v>#N/A</v>
      </c>
      <c r="L868" t="e">
        <f>VLOOKUP(C868,'Location Data'!$C$5:$G$1004,5,FALSE)</f>
        <v>#N/A</v>
      </c>
    </row>
    <row r="869" spans="1:12" x14ac:dyDescent="0.2">
      <c r="A869">
        <f>'Shipment Data for Provisioning'!B874</f>
        <v>0</v>
      </c>
      <c r="B869">
        <f>'Shipment Data for Provisioning'!C874</f>
        <v>0</v>
      </c>
      <c r="C869">
        <f>'Shipment Data for Provisioning'!D874</f>
        <v>0</v>
      </c>
      <c r="D869">
        <f>'Shipment Data for Provisioning'!E874</f>
        <v>0</v>
      </c>
      <c r="E869">
        <f>'Shipment Data for Provisioning'!F874</f>
        <v>0</v>
      </c>
      <c r="F869">
        <f>'Shipment Data for Provisioning'!G874</f>
        <v>0</v>
      </c>
      <c r="G869">
        <f>'Shipment Data for Provisioning'!H874</f>
        <v>0</v>
      </c>
      <c r="H869">
        <f>'Shipment Data for Provisioning'!I874</f>
        <v>0</v>
      </c>
      <c r="I869" t="e">
        <f>VLOOKUP(B869,'Location Data'!$C$5:$G$1004,4,FALSE)</f>
        <v>#N/A</v>
      </c>
      <c r="J869" t="e">
        <f>VLOOKUP(B869,'Location Data'!$C$5:$G$1004,5,FALSE)</f>
        <v>#N/A</v>
      </c>
      <c r="K869" t="e">
        <f>VLOOKUP(C869,'Location Data'!$C$5:$G$1004,4,FALSE)</f>
        <v>#N/A</v>
      </c>
      <c r="L869" t="e">
        <f>VLOOKUP(C869,'Location Data'!$C$5:$G$1004,5,FALSE)</f>
        <v>#N/A</v>
      </c>
    </row>
    <row r="870" spans="1:12" x14ac:dyDescent="0.2">
      <c r="A870">
        <f>'Shipment Data for Provisioning'!B875</f>
        <v>0</v>
      </c>
      <c r="B870">
        <f>'Shipment Data for Provisioning'!C875</f>
        <v>0</v>
      </c>
      <c r="C870">
        <f>'Shipment Data for Provisioning'!D875</f>
        <v>0</v>
      </c>
      <c r="D870">
        <f>'Shipment Data for Provisioning'!E875</f>
        <v>0</v>
      </c>
      <c r="E870">
        <f>'Shipment Data for Provisioning'!F875</f>
        <v>0</v>
      </c>
      <c r="F870">
        <f>'Shipment Data for Provisioning'!G875</f>
        <v>0</v>
      </c>
      <c r="G870">
        <f>'Shipment Data for Provisioning'!H875</f>
        <v>0</v>
      </c>
      <c r="H870">
        <f>'Shipment Data for Provisioning'!I875</f>
        <v>0</v>
      </c>
      <c r="I870" t="e">
        <f>VLOOKUP(B870,'Location Data'!$C$5:$G$1004,4,FALSE)</f>
        <v>#N/A</v>
      </c>
      <c r="J870" t="e">
        <f>VLOOKUP(B870,'Location Data'!$C$5:$G$1004,5,FALSE)</f>
        <v>#N/A</v>
      </c>
      <c r="K870" t="e">
        <f>VLOOKUP(C870,'Location Data'!$C$5:$G$1004,4,FALSE)</f>
        <v>#N/A</v>
      </c>
      <c r="L870" t="e">
        <f>VLOOKUP(C870,'Location Data'!$C$5:$G$1004,5,FALSE)</f>
        <v>#N/A</v>
      </c>
    </row>
    <row r="871" spans="1:12" x14ac:dyDescent="0.2">
      <c r="A871">
        <f>'Shipment Data for Provisioning'!B876</f>
        <v>0</v>
      </c>
      <c r="B871">
        <f>'Shipment Data for Provisioning'!C876</f>
        <v>0</v>
      </c>
      <c r="C871">
        <f>'Shipment Data for Provisioning'!D876</f>
        <v>0</v>
      </c>
      <c r="D871">
        <f>'Shipment Data for Provisioning'!E876</f>
        <v>0</v>
      </c>
      <c r="E871">
        <f>'Shipment Data for Provisioning'!F876</f>
        <v>0</v>
      </c>
      <c r="F871">
        <f>'Shipment Data for Provisioning'!G876</f>
        <v>0</v>
      </c>
      <c r="G871">
        <f>'Shipment Data for Provisioning'!H876</f>
        <v>0</v>
      </c>
      <c r="H871">
        <f>'Shipment Data for Provisioning'!I876</f>
        <v>0</v>
      </c>
      <c r="I871" t="e">
        <f>VLOOKUP(B871,'Location Data'!$C$5:$G$1004,4,FALSE)</f>
        <v>#N/A</v>
      </c>
      <c r="J871" t="e">
        <f>VLOOKUP(B871,'Location Data'!$C$5:$G$1004,5,FALSE)</f>
        <v>#N/A</v>
      </c>
      <c r="K871" t="e">
        <f>VLOOKUP(C871,'Location Data'!$C$5:$G$1004,4,FALSE)</f>
        <v>#N/A</v>
      </c>
      <c r="L871" t="e">
        <f>VLOOKUP(C871,'Location Data'!$C$5:$G$1004,5,FALSE)</f>
        <v>#N/A</v>
      </c>
    </row>
    <row r="872" spans="1:12" x14ac:dyDescent="0.2">
      <c r="A872">
        <f>'Shipment Data for Provisioning'!B877</f>
        <v>0</v>
      </c>
      <c r="B872">
        <f>'Shipment Data for Provisioning'!C877</f>
        <v>0</v>
      </c>
      <c r="C872">
        <f>'Shipment Data for Provisioning'!D877</f>
        <v>0</v>
      </c>
      <c r="D872">
        <f>'Shipment Data for Provisioning'!E877</f>
        <v>0</v>
      </c>
      <c r="E872">
        <f>'Shipment Data for Provisioning'!F877</f>
        <v>0</v>
      </c>
      <c r="F872">
        <f>'Shipment Data for Provisioning'!G877</f>
        <v>0</v>
      </c>
      <c r="G872">
        <f>'Shipment Data for Provisioning'!H877</f>
        <v>0</v>
      </c>
      <c r="H872">
        <f>'Shipment Data for Provisioning'!I877</f>
        <v>0</v>
      </c>
      <c r="I872" t="e">
        <f>VLOOKUP(B872,'Location Data'!$C$5:$G$1004,4,FALSE)</f>
        <v>#N/A</v>
      </c>
      <c r="J872" t="e">
        <f>VLOOKUP(B872,'Location Data'!$C$5:$G$1004,5,FALSE)</f>
        <v>#N/A</v>
      </c>
      <c r="K872" t="e">
        <f>VLOOKUP(C872,'Location Data'!$C$5:$G$1004,4,FALSE)</f>
        <v>#N/A</v>
      </c>
      <c r="L872" t="e">
        <f>VLOOKUP(C872,'Location Data'!$C$5:$G$1004,5,FALSE)</f>
        <v>#N/A</v>
      </c>
    </row>
    <row r="873" spans="1:12" x14ac:dyDescent="0.2">
      <c r="A873">
        <f>'Shipment Data for Provisioning'!B878</f>
        <v>0</v>
      </c>
      <c r="B873">
        <f>'Shipment Data for Provisioning'!C878</f>
        <v>0</v>
      </c>
      <c r="C873">
        <f>'Shipment Data for Provisioning'!D878</f>
        <v>0</v>
      </c>
      <c r="D873">
        <f>'Shipment Data for Provisioning'!E878</f>
        <v>0</v>
      </c>
      <c r="E873">
        <f>'Shipment Data for Provisioning'!F878</f>
        <v>0</v>
      </c>
      <c r="F873">
        <f>'Shipment Data for Provisioning'!G878</f>
        <v>0</v>
      </c>
      <c r="G873">
        <f>'Shipment Data for Provisioning'!H878</f>
        <v>0</v>
      </c>
      <c r="H873">
        <f>'Shipment Data for Provisioning'!I878</f>
        <v>0</v>
      </c>
      <c r="I873" t="e">
        <f>VLOOKUP(B873,'Location Data'!$C$5:$G$1004,4,FALSE)</f>
        <v>#N/A</v>
      </c>
      <c r="J873" t="e">
        <f>VLOOKUP(B873,'Location Data'!$C$5:$G$1004,5,FALSE)</f>
        <v>#N/A</v>
      </c>
      <c r="K873" t="e">
        <f>VLOOKUP(C873,'Location Data'!$C$5:$G$1004,4,FALSE)</f>
        <v>#N/A</v>
      </c>
      <c r="L873" t="e">
        <f>VLOOKUP(C873,'Location Data'!$C$5:$G$1004,5,FALSE)</f>
        <v>#N/A</v>
      </c>
    </row>
    <row r="874" spans="1:12" x14ac:dyDescent="0.2">
      <c r="A874">
        <f>'Shipment Data for Provisioning'!B879</f>
        <v>0</v>
      </c>
      <c r="B874">
        <f>'Shipment Data for Provisioning'!C879</f>
        <v>0</v>
      </c>
      <c r="C874">
        <f>'Shipment Data for Provisioning'!D879</f>
        <v>0</v>
      </c>
      <c r="D874">
        <f>'Shipment Data for Provisioning'!E879</f>
        <v>0</v>
      </c>
      <c r="E874">
        <f>'Shipment Data for Provisioning'!F879</f>
        <v>0</v>
      </c>
      <c r="F874">
        <f>'Shipment Data for Provisioning'!G879</f>
        <v>0</v>
      </c>
      <c r="G874">
        <f>'Shipment Data for Provisioning'!H879</f>
        <v>0</v>
      </c>
      <c r="H874">
        <f>'Shipment Data for Provisioning'!I879</f>
        <v>0</v>
      </c>
      <c r="I874" t="e">
        <f>VLOOKUP(B874,'Location Data'!$C$5:$G$1004,4,FALSE)</f>
        <v>#N/A</v>
      </c>
      <c r="J874" t="e">
        <f>VLOOKUP(B874,'Location Data'!$C$5:$G$1004,5,FALSE)</f>
        <v>#N/A</v>
      </c>
      <c r="K874" t="e">
        <f>VLOOKUP(C874,'Location Data'!$C$5:$G$1004,4,FALSE)</f>
        <v>#N/A</v>
      </c>
      <c r="L874" t="e">
        <f>VLOOKUP(C874,'Location Data'!$C$5:$G$1004,5,FALSE)</f>
        <v>#N/A</v>
      </c>
    </row>
    <row r="875" spans="1:12" x14ac:dyDescent="0.2">
      <c r="A875">
        <f>'Shipment Data for Provisioning'!B880</f>
        <v>0</v>
      </c>
      <c r="B875">
        <f>'Shipment Data for Provisioning'!C880</f>
        <v>0</v>
      </c>
      <c r="C875">
        <f>'Shipment Data for Provisioning'!D880</f>
        <v>0</v>
      </c>
      <c r="D875">
        <f>'Shipment Data for Provisioning'!E880</f>
        <v>0</v>
      </c>
      <c r="E875">
        <f>'Shipment Data for Provisioning'!F880</f>
        <v>0</v>
      </c>
      <c r="F875">
        <f>'Shipment Data for Provisioning'!G880</f>
        <v>0</v>
      </c>
      <c r="G875">
        <f>'Shipment Data for Provisioning'!H880</f>
        <v>0</v>
      </c>
      <c r="H875">
        <f>'Shipment Data for Provisioning'!I880</f>
        <v>0</v>
      </c>
      <c r="I875" t="e">
        <f>VLOOKUP(B875,'Location Data'!$C$5:$G$1004,4,FALSE)</f>
        <v>#N/A</v>
      </c>
      <c r="J875" t="e">
        <f>VLOOKUP(B875,'Location Data'!$C$5:$G$1004,5,FALSE)</f>
        <v>#N/A</v>
      </c>
      <c r="K875" t="e">
        <f>VLOOKUP(C875,'Location Data'!$C$5:$G$1004,4,FALSE)</f>
        <v>#N/A</v>
      </c>
      <c r="L875" t="e">
        <f>VLOOKUP(C875,'Location Data'!$C$5:$G$1004,5,FALSE)</f>
        <v>#N/A</v>
      </c>
    </row>
    <row r="876" spans="1:12" x14ac:dyDescent="0.2">
      <c r="A876">
        <f>'Shipment Data for Provisioning'!B881</f>
        <v>0</v>
      </c>
      <c r="B876">
        <f>'Shipment Data for Provisioning'!C881</f>
        <v>0</v>
      </c>
      <c r="C876">
        <f>'Shipment Data for Provisioning'!D881</f>
        <v>0</v>
      </c>
      <c r="D876">
        <f>'Shipment Data for Provisioning'!E881</f>
        <v>0</v>
      </c>
      <c r="E876">
        <f>'Shipment Data for Provisioning'!F881</f>
        <v>0</v>
      </c>
      <c r="F876">
        <f>'Shipment Data for Provisioning'!G881</f>
        <v>0</v>
      </c>
      <c r="G876">
        <f>'Shipment Data for Provisioning'!H881</f>
        <v>0</v>
      </c>
      <c r="H876">
        <f>'Shipment Data for Provisioning'!I881</f>
        <v>0</v>
      </c>
      <c r="I876" t="e">
        <f>VLOOKUP(B876,'Location Data'!$C$5:$G$1004,4,FALSE)</f>
        <v>#N/A</v>
      </c>
      <c r="J876" t="e">
        <f>VLOOKUP(B876,'Location Data'!$C$5:$G$1004,5,FALSE)</f>
        <v>#N/A</v>
      </c>
      <c r="K876" t="e">
        <f>VLOOKUP(C876,'Location Data'!$C$5:$G$1004,4,FALSE)</f>
        <v>#N/A</v>
      </c>
      <c r="L876" t="e">
        <f>VLOOKUP(C876,'Location Data'!$C$5:$G$1004,5,FALSE)</f>
        <v>#N/A</v>
      </c>
    </row>
    <row r="877" spans="1:12" x14ac:dyDescent="0.2">
      <c r="A877">
        <f>'Shipment Data for Provisioning'!B882</f>
        <v>0</v>
      </c>
      <c r="B877">
        <f>'Shipment Data for Provisioning'!C882</f>
        <v>0</v>
      </c>
      <c r="C877">
        <f>'Shipment Data for Provisioning'!D882</f>
        <v>0</v>
      </c>
      <c r="D877">
        <f>'Shipment Data for Provisioning'!E882</f>
        <v>0</v>
      </c>
      <c r="E877">
        <f>'Shipment Data for Provisioning'!F882</f>
        <v>0</v>
      </c>
      <c r="F877">
        <f>'Shipment Data for Provisioning'!G882</f>
        <v>0</v>
      </c>
      <c r="G877">
        <f>'Shipment Data for Provisioning'!H882</f>
        <v>0</v>
      </c>
      <c r="H877">
        <f>'Shipment Data for Provisioning'!I882</f>
        <v>0</v>
      </c>
      <c r="I877" t="e">
        <f>VLOOKUP(B877,'Location Data'!$C$5:$G$1004,4,FALSE)</f>
        <v>#N/A</v>
      </c>
      <c r="J877" t="e">
        <f>VLOOKUP(B877,'Location Data'!$C$5:$G$1004,5,FALSE)</f>
        <v>#N/A</v>
      </c>
      <c r="K877" t="e">
        <f>VLOOKUP(C877,'Location Data'!$C$5:$G$1004,4,FALSE)</f>
        <v>#N/A</v>
      </c>
      <c r="L877" t="e">
        <f>VLOOKUP(C877,'Location Data'!$C$5:$G$1004,5,FALSE)</f>
        <v>#N/A</v>
      </c>
    </row>
    <row r="878" spans="1:12" x14ac:dyDescent="0.2">
      <c r="A878">
        <f>'Shipment Data for Provisioning'!B883</f>
        <v>0</v>
      </c>
      <c r="B878">
        <f>'Shipment Data for Provisioning'!C883</f>
        <v>0</v>
      </c>
      <c r="C878">
        <f>'Shipment Data for Provisioning'!D883</f>
        <v>0</v>
      </c>
      <c r="D878">
        <f>'Shipment Data for Provisioning'!E883</f>
        <v>0</v>
      </c>
      <c r="E878">
        <f>'Shipment Data for Provisioning'!F883</f>
        <v>0</v>
      </c>
      <c r="F878">
        <f>'Shipment Data for Provisioning'!G883</f>
        <v>0</v>
      </c>
      <c r="G878">
        <f>'Shipment Data for Provisioning'!H883</f>
        <v>0</v>
      </c>
      <c r="H878">
        <f>'Shipment Data for Provisioning'!I883</f>
        <v>0</v>
      </c>
      <c r="I878" t="e">
        <f>VLOOKUP(B878,'Location Data'!$C$5:$G$1004,4,FALSE)</f>
        <v>#N/A</v>
      </c>
      <c r="J878" t="e">
        <f>VLOOKUP(B878,'Location Data'!$C$5:$G$1004,5,FALSE)</f>
        <v>#N/A</v>
      </c>
      <c r="K878" t="e">
        <f>VLOOKUP(C878,'Location Data'!$C$5:$G$1004,4,FALSE)</f>
        <v>#N/A</v>
      </c>
      <c r="L878" t="e">
        <f>VLOOKUP(C878,'Location Data'!$C$5:$G$1004,5,FALSE)</f>
        <v>#N/A</v>
      </c>
    </row>
    <row r="879" spans="1:12" x14ac:dyDescent="0.2">
      <c r="A879">
        <f>'Shipment Data for Provisioning'!B884</f>
        <v>0</v>
      </c>
      <c r="B879">
        <f>'Shipment Data for Provisioning'!C884</f>
        <v>0</v>
      </c>
      <c r="C879">
        <f>'Shipment Data for Provisioning'!D884</f>
        <v>0</v>
      </c>
      <c r="D879">
        <f>'Shipment Data for Provisioning'!E884</f>
        <v>0</v>
      </c>
      <c r="E879">
        <f>'Shipment Data for Provisioning'!F884</f>
        <v>0</v>
      </c>
      <c r="F879">
        <f>'Shipment Data for Provisioning'!G884</f>
        <v>0</v>
      </c>
      <c r="G879">
        <f>'Shipment Data for Provisioning'!H884</f>
        <v>0</v>
      </c>
      <c r="H879">
        <f>'Shipment Data for Provisioning'!I884</f>
        <v>0</v>
      </c>
      <c r="I879" t="e">
        <f>VLOOKUP(B879,'Location Data'!$C$5:$G$1004,4,FALSE)</f>
        <v>#N/A</v>
      </c>
      <c r="J879" t="e">
        <f>VLOOKUP(B879,'Location Data'!$C$5:$G$1004,5,FALSE)</f>
        <v>#N/A</v>
      </c>
      <c r="K879" t="e">
        <f>VLOOKUP(C879,'Location Data'!$C$5:$G$1004,4,FALSE)</f>
        <v>#N/A</v>
      </c>
      <c r="L879" t="e">
        <f>VLOOKUP(C879,'Location Data'!$C$5:$G$1004,5,FALSE)</f>
        <v>#N/A</v>
      </c>
    </row>
    <row r="880" spans="1:12" x14ac:dyDescent="0.2">
      <c r="A880">
        <f>'Shipment Data for Provisioning'!B885</f>
        <v>0</v>
      </c>
      <c r="B880">
        <f>'Shipment Data for Provisioning'!C885</f>
        <v>0</v>
      </c>
      <c r="C880">
        <f>'Shipment Data for Provisioning'!D885</f>
        <v>0</v>
      </c>
      <c r="D880">
        <f>'Shipment Data for Provisioning'!E885</f>
        <v>0</v>
      </c>
      <c r="E880">
        <f>'Shipment Data for Provisioning'!F885</f>
        <v>0</v>
      </c>
      <c r="F880">
        <f>'Shipment Data for Provisioning'!G885</f>
        <v>0</v>
      </c>
      <c r="G880">
        <f>'Shipment Data for Provisioning'!H885</f>
        <v>0</v>
      </c>
      <c r="H880">
        <f>'Shipment Data for Provisioning'!I885</f>
        <v>0</v>
      </c>
      <c r="I880" t="e">
        <f>VLOOKUP(B880,'Location Data'!$C$5:$G$1004,4,FALSE)</f>
        <v>#N/A</v>
      </c>
      <c r="J880" t="e">
        <f>VLOOKUP(B880,'Location Data'!$C$5:$G$1004,5,FALSE)</f>
        <v>#N/A</v>
      </c>
      <c r="K880" t="e">
        <f>VLOOKUP(C880,'Location Data'!$C$5:$G$1004,4,FALSE)</f>
        <v>#N/A</v>
      </c>
      <c r="L880" t="e">
        <f>VLOOKUP(C880,'Location Data'!$C$5:$G$1004,5,FALSE)</f>
        <v>#N/A</v>
      </c>
    </row>
    <row r="881" spans="1:12" x14ac:dyDescent="0.2">
      <c r="A881">
        <f>'Shipment Data for Provisioning'!B886</f>
        <v>0</v>
      </c>
      <c r="B881">
        <f>'Shipment Data for Provisioning'!C886</f>
        <v>0</v>
      </c>
      <c r="C881">
        <f>'Shipment Data for Provisioning'!D886</f>
        <v>0</v>
      </c>
      <c r="D881">
        <f>'Shipment Data for Provisioning'!E886</f>
        <v>0</v>
      </c>
      <c r="E881">
        <f>'Shipment Data for Provisioning'!F886</f>
        <v>0</v>
      </c>
      <c r="F881">
        <f>'Shipment Data for Provisioning'!G886</f>
        <v>0</v>
      </c>
      <c r="G881">
        <f>'Shipment Data for Provisioning'!H886</f>
        <v>0</v>
      </c>
      <c r="H881">
        <f>'Shipment Data for Provisioning'!I886</f>
        <v>0</v>
      </c>
      <c r="I881" t="e">
        <f>VLOOKUP(B881,'Location Data'!$C$5:$G$1004,4,FALSE)</f>
        <v>#N/A</v>
      </c>
      <c r="J881" t="e">
        <f>VLOOKUP(B881,'Location Data'!$C$5:$G$1004,5,FALSE)</f>
        <v>#N/A</v>
      </c>
      <c r="K881" t="e">
        <f>VLOOKUP(C881,'Location Data'!$C$5:$G$1004,4,FALSE)</f>
        <v>#N/A</v>
      </c>
      <c r="L881" t="e">
        <f>VLOOKUP(C881,'Location Data'!$C$5:$G$1004,5,FALSE)</f>
        <v>#N/A</v>
      </c>
    </row>
    <row r="882" spans="1:12" x14ac:dyDescent="0.2">
      <c r="A882">
        <f>'Shipment Data for Provisioning'!B887</f>
        <v>0</v>
      </c>
      <c r="B882">
        <f>'Shipment Data for Provisioning'!C887</f>
        <v>0</v>
      </c>
      <c r="C882">
        <f>'Shipment Data for Provisioning'!D887</f>
        <v>0</v>
      </c>
      <c r="D882">
        <f>'Shipment Data for Provisioning'!E887</f>
        <v>0</v>
      </c>
      <c r="E882">
        <f>'Shipment Data for Provisioning'!F887</f>
        <v>0</v>
      </c>
      <c r="F882">
        <f>'Shipment Data for Provisioning'!G887</f>
        <v>0</v>
      </c>
      <c r="G882">
        <f>'Shipment Data for Provisioning'!H887</f>
        <v>0</v>
      </c>
      <c r="H882">
        <f>'Shipment Data for Provisioning'!I887</f>
        <v>0</v>
      </c>
      <c r="I882" t="e">
        <f>VLOOKUP(B882,'Location Data'!$C$5:$G$1004,4,FALSE)</f>
        <v>#N/A</v>
      </c>
      <c r="J882" t="e">
        <f>VLOOKUP(B882,'Location Data'!$C$5:$G$1004,5,FALSE)</f>
        <v>#N/A</v>
      </c>
      <c r="K882" t="e">
        <f>VLOOKUP(C882,'Location Data'!$C$5:$G$1004,4,FALSE)</f>
        <v>#N/A</v>
      </c>
      <c r="L882" t="e">
        <f>VLOOKUP(C882,'Location Data'!$C$5:$G$1004,5,FALSE)</f>
        <v>#N/A</v>
      </c>
    </row>
    <row r="883" spans="1:12" x14ac:dyDescent="0.2">
      <c r="A883">
        <f>'Shipment Data for Provisioning'!B888</f>
        <v>0</v>
      </c>
      <c r="B883">
        <f>'Shipment Data for Provisioning'!C888</f>
        <v>0</v>
      </c>
      <c r="C883">
        <f>'Shipment Data for Provisioning'!D888</f>
        <v>0</v>
      </c>
      <c r="D883">
        <f>'Shipment Data for Provisioning'!E888</f>
        <v>0</v>
      </c>
      <c r="E883">
        <f>'Shipment Data for Provisioning'!F888</f>
        <v>0</v>
      </c>
      <c r="F883">
        <f>'Shipment Data for Provisioning'!G888</f>
        <v>0</v>
      </c>
      <c r="G883">
        <f>'Shipment Data for Provisioning'!H888</f>
        <v>0</v>
      </c>
      <c r="H883">
        <f>'Shipment Data for Provisioning'!I888</f>
        <v>0</v>
      </c>
      <c r="I883" t="e">
        <f>VLOOKUP(B883,'Location Data'!$C$5:$G$1004,4,FALSE)</f>
        <v>#N/A</v>
      </c>
      <c r="J883" t="e">
        <f>VLOOKUP(B883,'Location Data'!$C$5:$G$1004,5,FALSE)</f>
        <v>#N/A</v>
      </c>
      <c r="K883" t="e">
        <f>VLOOKUP(C883,'Location Data'!$C$5:$G$1004,4,FALSE)</f>
        <v>#N/A</v>
      </c>
      <c r="L883" t="e">
        <f>VLOOKUP(C883,'Location Data'!$C$5:$G$1004,5,FALSE)</f>
        <v>#N/A</v>
      </c>
    </row>
    <row r="884" spans="1:12" x14ac:dyDescent="0.2">
      <c r="A884">
        <f>'Shipment Data for Provisioning'!B889</f>
        <v>0</v>
      </c>
      <c r="B884">
        <f>'Shipment Data for Provisioning'!C889</f>
        <v>0</v>
      </c>
      <c r="C884">
        <f>'Shipment Data for Provisioning'!D889</f>
        <v>0</v>
      </c>
      <c r="D884">
        <f>'Shipment Data for Provisioning'!E889</f>
        <v>0</v>
      </c>
      <c r="E884">
        <f>'Shipment Data for Provisioning'!F889</f>
        <v>0</v>
      </c>
      <c r="F884">
        <f>'Shipment Data for Provisioning'!G889</f>
        <v>0</v>
      </c>
      <c r="G884">
        <f>'Shipment Data for Provisioning'!H889</f>
        <v>0</v>
      </c>
      <c r="H884">
        <f>'Shipment Data for Provisioning'!I889</f>
        <v>0</v>
      </c>
      <c r="I884" t="e">
        <f>VLOOKUP(B884,'Location Data'!$C$5:$G$1004,4,FALSE)</f>
        <v>#N/A</v>
      </c>
      <c r="J884" t="e">
        <f>VLOOKUP(B884,'Location Data'!$C$5:$G$1004,5,FALSE)</f>
        <v>#N/A</v>
      </c>
      <c r="K884" t="e">
        <f>VLOOKUP(C884,'Location Data'!$C$5:$G$1004,4,FALSE)</f>
        <v>#N/A</v>
      </c>
      <c r="L884" t="e">
        <f>VLOOKUP(C884,'Location Data'!$C$5:$G$1004,5,FALSE)</f>
        <v>#N/A</v>
      </c>
    </row>
    <row r="885" spans="1:12" x14ac:dyDescent="0.2">
      <c r="A885">
        <f>'Shipment Data for Provisioning'!B890</f>
        <v>0</v>
      </c>
      <c r="B885">
        <f>'Shipment Data for Provisioning'!C890</f>
        <v>0</v>
      </c>
      <c r="C885">
        <f>'Shipment Data for Provisioning'!D890</f>
        <v>0</v>
      </c>
      <c r="D885">
        <f>'Shipment Data for Provisioning'!E890</f>
        <v>0</v>
      </c>
      <c r="E885">
        <f>'Shipment Data for Provisioning'!F890</f>
        <v>0</v>
      </c>
      <c r="F885">
        <f>'Shipment Data for Provisioning'!G890</f>
        <v>0</v>
      </c>
      <c r="G885">
        <f>'Shipment Data for Provisioning'!H890</f>
        <v>0</v>
      </c>
      <c r="H885">
        <f>'Shipment Data for Provisioning'!I890</f>
        <v>0</v>
      </c>
      <c r="I885" t="e">
        <f>VLOOKUP(B885,'Location Data'!$C$5:$G$1004,4,FALSE)</f>
        <v>#N/A</v>
      </c>
      <c r="J885" t="e">
        <f>VLOOKUP(B885,'Location Data'!$C$5:$G$1004,5,FALSE)</f>
        <v>#N/A</v>
      </c>
      <c r="K885" t="e">
        <f>VLOOKUP(C885,'Location Data'!$C$5:$G$1004,4,FALSE)</f>
        <v>#N/A</v>
      </c>
      <c r="L885" t="e">
        <f>VLOOKUP(C885,'Location Data'!$C$5:$G$1004,5,FALSE)</f>
        <v>#N/A</v>
      </c>
    </row>
    <row r="886" spans="1:12" x14ac:dyDescent="0.2">
      <c r="A886">
        <f>'Shipment Data for Provisioning'!B891</f>
        <v>0</v>
      </c>
      <c r="B886">
        <f>'Shipment Data for Provisioning'!C891</f>
        <v>0</v>
      </c>
      <c r="C886">
        <f>'Shipment Data for Provisioning'!D891</f>
        <v>0</v>
      </c>
      <c r="D886">
        <f>'Shipment Data for Provisioning'!E891</f>
        <v>0</v>
      </c>
      <c r="E886">
        <f>'Shipment Data for Provisioning'!F891</f>
        <v>0</v>
      </c>
      <c r="F886">
        <f>'Shipment Data for Provisioning'!G891</f>
        <v>0</v>
      </c>
      <c r="G886">
        <f>'Shipment Data for Provisioning'!H891</f>
        <v>0</v>
      </c>
      <c r="H886">
        <f>'Shipment Data for Provisioning'!I891</f>
        <v>0</v>
      </c>
      <c r="I886" t="e">
        <f>VLOOKUP(B886,'Location Data'!$C$5:$G$1004,4,FALSE)</f>
        <v>#N/A</v>
      </c>
      <c r="J886" t="e">
        <f>VLOOKUP(B886,'Location Data'!$C$5:$G$1004,5,FALSE)</f>
        <v>#N/A</v>
      </c>
      <c r="K886" t="e">
        <f>VLOOKUP(C886,'Location Data'!$C$5:$G$1004,4,FALSE)</f>
        <v>#N/A</v>
      </c>
      <c r="L886" t="e">
        <f>VLOOKUP(C886,'Location Data'!$C$5:$G$1004,5,FALSE)</f>
        <v>#N/A</v>
      </c>
    </row>
    <row r="887" spans="1:12" x14ac:dyDescent="0.2">
      <c r="A887">
        <f>'Shipment Data for Provisioning'!B892</f>
        <v>0</v>
      </c>
      <c r="B887">
        <f>'Shipment Data for Provisioning'!C892</f>
        <v>0</v>
      </c>
      <c r="C887">
        <f>'Shipment Data for Provisioning'!D892</f>
        <v>0</v>
      </c>
      <c r="D887">
        <f>'Shipment Data for Provisioning'!E892</f>
        <v>0</v>
      </c>
      <c r="E887">
        <f>'Shipment Data for Provisioning'!F892</f>
        <v>0</v>
      </c>
      <c r="F887">
        <f>'Shipment Data for Provisioning'!G892</f>
        <v>0</v>
      </c>
      <c r="G887">
        <f>'Shipment Data for Provisioning'!H892</f>
        <v>0</v>
      </c>
      <c r="H887">
        <f>'Shipment Data for Provisioning'!I892</f>
        <v>0</v>
      </c>
      <c r="I887" t="e">
        <f>VLOOKUP(B887,'Location Data'!$C$5:$G$1004,4,FALSE)</f>
        <v>#N/A</v>
      </c>
      <c r="J887" t="e">
        <f>VLOOKUP(B887,'Location Data'!$C$5:$G$1004,5,FALSE)</f>
        <v>#N/A</v>
      </c>
      <c r="K887" t="e">
        <f>VLOOKUP(C887,'Location Data'!$C$5:$G$1004,4,FALSE)</f>
        <v>#N/A</v>
      </c>
      <c r="L887" t="e">
        <f>VLOOKUP(C887,'Location Data'!$C$5:$G$1004,5,FALSE)</f>
        <v>#N/A</v>
      </c>
    </row>
    <row r="888" spans="1:12" x14ac:dyDescent="0.2">
      <c r="A888">
        <f>'Shipment Data for Provisioning'!B893</f>
        <v>0</v>
      </c>
      <c r="B888">
        <f>'Shipment Data for Provisioning'!C893</f>
        <v>0</v>
      </c>
      <c r="C888">
        <f>'Shipment Data for Provisioning'!D893</f>
        <v>0</v>
      </c>
      <c r="D888">
        <f>'Shipment Data for Provisioning'!E893</f>
        <v>0</v>
      </c>
      <c r="E888">
        <f>'Shipment Data for Provisioning'!F893</f>
        <v>0</v>
      </c>
      <c r="F888">
        <f>'Shipment Data for Provisioning'!G893</f>
        <v>0</v>
      </c>
      <c r="G888">
        <f>'Shipment Data for Provisioning'!H893</f>
        <v>0</v>
      </c>
      <c r="H888">
        <f>'Shipment Data for Provisioning'!I893</f>
        <v>0</v>
      </c>
      <c r="I888" t="e">
        <f>VLOOKUP(B888,'Location Data'!$C$5:$G$1004,4,FALSE)</f>
        <v>#N/A</v>
      </c>
      <c r="J888" t="e">
        <f>VLOOKUP(B888,'Location Data'!$C$5:$G$1004,5,FALSE)</f>
        <v>#N/A</v>
      </c>
      <c r="K888" t="e">
        <f>VLOOKUP(C888,'Location Data'!$C$5:$G$1004,4,FALSE)</f>
        <v>#N/A</v>
      </c>
      <c r="L888" t="e">
        <f>VLOOKUP(C888,'Location Data'!$C$5:$G$1004,5,FALSE)</f>
        <v>#N/A</v>
      </c>
    </row>
    <row r="889" spans="1:12" x14ac:dyDescent="0.2">
      <c r="A889">
        <f>'Shipment Data for Provisioning'!B894</f>
        <v>0</v>
      </c>
      <c r="B889">
        <f>'Shipment Data for Provisioning'!C894</f>
        <v>0</v>
      </c>
      <c r="C889">
        <f>'Shipment Data for Provisioning'!D894</f>
        <v>0</v>
      </c>
      <c r="D889">
        <f>'Shipment Data for Provisioning'!E894</f>
        <v>0</v>
      </c>
      <c r="E889">
        <f>'Shipment Data for Provisioning'!F894</f>
        <v>0</v>
      </c>
      <c r="F889">
        <f>'Shipment Data for Provisioning'!G894</f>
        <v>0</v>
      </c>
      <c r="G889">
        <f>'Shipment Data for Provisioning'!H894</f>
        <v>0</v>
      </c>
      <c r="H889">
        <f>'Shipment Data for Provisioning'!I894</f>
        <v>0</v>
      </c>
      <c r="I889" t="e">
        <f>VLOOKUP(B889,'Location Data'!$C$5:$G$1004,4,FALSE)</f>
        <v>#N/A</v>
      </c>
      <c r="J889" t="e">
        <f>VLOOKUP(B889,'Location Data'!$C$5:$G$1004,5,FALSE)</f>
        <v>#N/A</v>
      </c>
      <c r="K889" t="e">
        <f>VLOOKUP(C889,'Location Data'!$C$5:$G$1004,4,FALSE)</f>
        <v>#N/A</v>
      </c>
      <c r="L889" t="e">
        <f>VLOOKUP(C889,'Location Data'!$C$5:$G$1004,5,FALSE)</f>
        <v>#N/A</v>
      </c>
    </row>
    <row r="890" spans="1:12" x14ac:dyDescent="0.2">
      <c r="A890">
        <f>'Shipment Data for Provisioning'!B895</f>
        <v>0</v>
      </c>
      <c r="B890">
        <f>'Shipment Data for Provisioning'!C895</f>
        <v>0</v>
      </c>
      <c r="C890">
        <f>'Shipment Data for Provisioning'!D895</f>
        <v>0</v>
      </c>
      <c r="D890">
        <f>'Shipment Data for Provisioning'!E895</f>
        <v>0</v>
      </c>
      <c r="E890">
        <f>'Shipment Data for Provisioning'!F895</f>
        <v>0</v>
      </c>
      <c r="F890">
        <f>'Shipment Data for Provisioning'!G895</f>
        <v>0</v>
      </c>
      <c r="G890">
        <f>'Shipment Data for Provisioning'!H895</f>
        <v>0</v>
      </c>
      <c r="H890">
        <f>'Shipment Data for Provisioning'!I895</f>
        <v>0</v>
      </c>
      <c r="I890" t="e">
        <f>VLOOKUP(B890,'Location Data'!$C$5:$G$1004,4,FALSE)</f>
        <v>#N/A</v>
      </c>
      <c r="J890" t="e">
        <f>VLOOKUP(B890,'Location Data'!$C$5:$G$1004,5,FALSE)</f>
        <v>#N/A</v>
      </c>
      <c r="K890" t="e">
        <f>VLOOKUP(C890,'Location Data'!$C$5:$G$1004,4,FALSE)</f>
        <v>#N/A</v>
      </c>
      <c r="L890" t="e">
        <f>VLOOKUP(C890,'Location Data'!$C$5:$G$1004,5,FALSE)</f>
        <v>#N/A</v>
      </c>
    </row>
    <row r="891" spans="1:12" x14ac:dyDescent="0.2">
      <c r="A891">
        <f>'Shipment Data for Provisioning'!B896</f>
        <v>0</v>
      </c>
      <c r="B891">
        <f>'Shipment Data for Provisioning'!C896</f>
        <v>0</v>
      </c>
      <c r="C891">
        <f>'Shipment Data for Provisioning'!D896</f>
        <v>0</v>
      </c>
      <c r="D891">
        <f>'Shipment Data for Provisioning'!E896</f>
        <v>0</v>
      </c>
      <c r="E891">
        <f>'Shipment Data for Provisioning'!F896</f>
        <v>0</v>
      </c>
      <c r="F891">
        <f>'Shipment Data for Provisioning'!G896</f>
        <v>0</v>
      </c>
      <c r="G891">
        <f>'Shipment Data for Provisioning'!H896</f>
        <v>0</v>
      </c>
      <c r="H891">
        <f>'Shipment Data for Provisioning'!I896</f>
        <v>0</v>
      </c>
      <c r="I891" t="e">
        <f>VLOOKUP(B891,'Location Data'!$C$5:$G$1004,4,FALSE)</f>
        <v>#N/A</v>
      </c>
      <c r="J891" t="e">
        <f>VLOOKUP(B891,'Location Data'!$C$5:$G$1004,5,FALSE)</f>
        <v>#N/A</v>
      </c>
      <c r="K891" t="e">
        <f>VLOOKUP(C891,'Location Data'!$C$5:$G$1004,4,FALSE)</f>
        <v>#N/A</v>
      </c>
      <c r="L891" t="e">
        <f>VLOOKUP(C891,'Location Data'!$C$5:$G$1004,5,FALSE)</f>
        <v>#N/A</v>
      </c>
    </row>
    <row r="892" spans="1:12" x14ac:dyDescent="0.2">
      <c r="A892">
        <f>'Shipment Data for Provisioning'!B897</f>
        <v>0</v>
      </c>
      <c r="B892">
        <f>'Shipment Data for Provisioning'!C897</f>
        <v>0</v>
      </c>
      <c r="C892">
        <f>'Shipment Data for Provisioning'!D897</f>
        <v>0</v>
      </c>
      <c r="D892">
        <f>'Shipment Data for Provisioning'!E897</f>
        <v>0</v>
      </c>
      <c r="E892">
        <f>'Shipment Data for Provisioning'!F897</f>
        <v>0</v>
      </c>
      <c r="F892">
        <f>'Shipment Data for Provisioning'!G897</f>
        <v>0</v>
      </c>
      <c r="G892">
        <f>'Shipment Data for Provisioning'!H897</f>
        <v>0</v>
      </c>
      <c r="H892">
        <f>'Shipment Data for Provisioning'!I897</f>
        <v>0</v>
      </c>
      <c r="I892" t="e">
        <f>VLOOKUP(B892,'Location Data'!$C$5:$G$1004,4,FALSE)</f>
        <v>#N/A</v>
      </c>
      <c r="J892" t="e">
        <f>VLOOKUP(B892,'Location Data'!$C$5:$G$1004,5,FALSE)</f>
        <v>#N/A</v>
      </c>
      <c r="K892" t="e">
        <f>VLOOKUP(C892,'Location Data'!$C$5:$G$1004,4,FALSE)</f>
        <v>#N/A</v>
      </c>
      <c r="L892" t="e">
        <f>VLOOKUP(C892,'Location Data'!$C$5:$G$1004,5,FALSE)</f>
        <v>#N/A</v>
      </c>
    </row>
    <row r="893" spans="1:12" x14ac:dyDescent="0.2">
      <c r="A893">
        <f>'Shipment Data for Provisioning'!B898</f>
        <v>0</v>
      </c>
      <c r="B893">
        <f>'Shipment Data for Provisioning'!C898</f>
        <v>0</v>
      </c>
      <c r="C893">
        <f>'Shipment Data for Provisioning'!D898</f>
        <v>0</v>
      </c>
      <c r="D893">
        <f>'Shipment Data for Provisioning'!E898</f>
        <v>0</v>
      </c>
      <c r="E893">
        <f>'Shipment Data for Provisioning'!F898</f>
        <v>0</v>
      </c>
      <c r="F893">
        <f>'Shipment Data for Provisioning'!G898</f>
        <v>0</v>
      </c>
      <c r="G893">
        <f>'Shipment Data for Provisioning'!H898</f>
        <v>0</v>
      </c>
      <c r="H893">
        <f>'Shipment Data for Provisioning'!I898</f>
        <v>0</v>
      </c>
      <c r="I893" t="e">
        <f>VLOOKUP(B893,'Location Data'!$C$5:$G$1004,4,FALSE)</f>
        <v>#N/A</v>
      </c>
      <c r="J893" t="e">
        <f>VLOOKUP(B893,'Location Data'!$C$5:$G$1004,5,FALSE)</f>
        <v>#N/A</v>
      </c>
      <c r="K893" t="e">
        <f>VLOOKUP(C893,'Location Data'!$C$5:$G$1004,4,FALSE)</f>
        <v>#N/A</v>
      </c>
      <c r="L893" t="e">
        <f>VLOOKUP(C893,'Location Data'!$C$5:$G$1004,5,FALSE)</f>
        <v>#N/A</v>
      </c>
    </row>
    <row r="894" spans="1:12" x14ac:dyDescent="0.2">
      <c r="A894">
        <f>'Shipment Data for Provisioning'!B899</f>
        <v>0</v>
      </c>
      <c r="B894">
        <f>'Shipment Data for Provisioning'!C899</f>
        <v>0</v>
      </c>
      <c r="C894">
        <f>'Shipment Data for Provisioning'!D899</f>
        <v>0</v>
      </c>
      <c r="D894">
        <f>'Shipment Data for Provisioning'!E899</f>
        <v>0</v>
      </c>
      <c r="E894">
        <f>'Shipment Data for Provisioning'!F899</f>
        <v>0</v>
      </c>
      <c r="F894">
        <f>'Shipment Data for Provisioning'!G899</f>
        <v>0</v>
      </c>
      <c r="G894">
        <f>'Shipment Data for Provisioning'!H899</f>
        <v>0</v>
      </c>
      <c r="H894">
        <f>'Shipment Data for Provisioning'!I899</f>
        <v>0</v>
      </c>
      <c r="I894" t="e">
        <f>VLOOKUP(B894,'Location Data'!$C$5:$G$1004,4,FALSE)</f>
        <v>#N/A</v>
      </c>
      <c r="J894" t="e">
        <f>VLOOKUP(B894,'Location Data'!$C$5:$G$1004,5,FALSE)</f>
        <v>#N/A</v>
      </c>
      <c r="K894" t="e">
        <f>VLOOKUP(C894,'Location Data'!$C$5:$G$1004,4,FALSE)</f>
        <v>#N/A</v>
      </c>
      <c r="L894" t="e">
        <f>VLOOKUP(C894,'Location Data'!$C$5:$G$1004,5,FALSE)</f>
        <v>#N/A</v>
      </c>
    </row>
    <row r="895" spans="1:12" x14ac:dyDescent="0.2">
      <c r="A895">
        <f>'Shipment Data for Provisioning'!B900</f>
        <v>0</v>
      </c>
      <c r="B895">
        <f>'Shipment Data for Provisioning'!C900</f>
        <v>0</v>
      </c>
      <c r="C895">
        <f>'Shipment Data for Provisioning'!D900</f>
        <v>0</v>
      </c>
      <c r="D895">
        <f>'Shipment Data for Provisioning'!E900</f>
        <v>0</v>
      </c>
      <c r="E895">
        <f>'Shipment Data for Provisioning'!F900</f>
        <v>0</v>
      </c>
      <c r="F895">
        <f>'Shipment Data for Provisioning'!G900</f>
        <v>0</v>
      </c>
      <c r="G895">
        <f>'Shipment Data for Provisioning'!H900</f>
        <v>0</v>
      </c>
      <c r="H895">
        <f>'Shipment Data for Provisioning'!I900</f>
        <v>0</v>
      </c>
      <c r="I895" t="e">
        <f>VLOOKUP(B895,'Location Data'!$C$5:$G$1004,4,FALSE)</f>
        <v>#N/A</v>
      </c>
      <c r="J895" t="e">
        <f>VLOOKUP(B895,'Location Data'!$C$5:$G$1004,5,FALSE)</f>
        <v>#N/A</v>
      </c>
      <c r="K895" t="e">
        <f>VLOOKUP(C895,'Location Data'!$C$5:$G$1004,4,FALSE)</f>
        <v>#N/A</v>
      </c>
      <c r="L895" t="e">
        <f>VLOOKUP(C895,'Location Data'!$C$5:$G$1004,5,FALSE)</f>
        <v>#N/A</v>
      </c>
    </row>
    <row r="896" spans="1:12" x14ac:dyDescent="0.2">
      <c r="A896">
        <f>'Shipment Data for Provisioning'!B901</f>
        <v>0</v>
      </c>
      <c r="B896">
        <f>'Shipment Data for Provisioning'!C901</f>
        <v>0</v>
      </c>
      <c r="C896">
        <f>'Shipment Data for Provisioning'!D901</f>
        <v>0</v>
      </c>
      <c r="D896">
        <f>'Shipment Data for Provisioning'!E901</f>
        <v>0</v>
      </c>
      <c r="E896">
        <f>'Shipment Data for Provisioning'!F901</f>
        <v>0</v>
      </c>
      <c r="F896">
        <f>'Shipment Data for Provisioning'!G901</f>
        <v>0</v>
      </c>
      <c r="G896">
        <f>'Shipment Data for Provisioning'!H901</f>
        <v>0</v>
      </c>
      <c r="H896">
        <f>'Shipment Data for Provisioning'!I901</f>
        <v>0</v>
      </c>
      <c r="I896" t="e">
        <f>VLOOKUP(B896,'Location Data'!$C$5:$G$1004,4,FALSE)</f>
        <v>#N/A</v>
      </c>
      <c r="J896" t="e">
        <f>VLOOKUP(B896,'Location Data'!$C$5:$G$1004,5,FALSE)</f>
        <v>#N/A</v>
      </c>
      <c r="K896" t="e">
        <f>VLOOKUP(C896,'Location Data'!$C$5:$G$1004,4,FALSE)</f>
        <v>#N/A</v>
      </c>
      <c r="L896" t="e">
        <f>VLOOKUP(C896,'Location Data'!$C$5:$G$1004,5,FALSE)</f>
        <v>#N/A</v>
      </c>
    </row>
    <row r="897" spans="1:12" x14ac:dyDescent="0.2">
      <c r="A897">
        <f>'Shipment Data for Provisioning'!B902</f>
        <v>0</v>
      </c>
      <c r="B897">
        <f>'Shipment Data for Provisioning'!C902</f>
        <v>0</v>
      </c>
      <c r="C897">
        <f>'Shipment Data for Provisioning'!D902</f>
        <v>0</v>
      </c>
      <c r="D897">
        <f>'Shipment Data for Provisioning'!E902</f>
        <v>0</v>
      </c>
      <c r="E897">
        <f>'Shipment Data for Provisioning'!F902</f>
        <v>0</v>
      </c>
      <c r="F897">
        <f>'Shipment Data for Provisioning'!G902</f>
        <v>0</v>
      </c>
      <c r="G897">
        <f>'Shipment Data for Provisioning'!H902</f>
        <v>0</v>
      </c>
      <c r="H897">
        <f>'Shipment Data for Provisioning'!I902</f>
        <v>0</v>
      </c>
      <c r="I897" t="e">
        <f>VLOOKUP(B897,'Location Data'!$C$5:$G$1004,4,FALSE)</f>
        <v>#N/A</v>
      </c>
      <c r="J897" t="e">
        <f>VLOOKUP(B897,'Location Data'!$C$5:$G$1004,5,FALSE)</f>
        <v>#N/A</v>
      </c>
      <c r="K897" t="e">
        <f>VLOOKUP(C897,'Location Data'!$C$5:$G$1004,4,FALSE)</f>
        <v>#N/A</v>
      </c>
      <c r="L897" t="e">
        <f>VLOOKUP(C897,'Location Data'!$C$5:$G$1004,5,FALSE)</f>
        <v>#N/A</v>
      </c>
    </row>
    <row r="898" spans="1:12" x14ac:dyDescent="0.2">
      <c r="A898">
        <f>'Shipment Data for Provisioning'!B903</f>
        <v>0</v>
      </c>
      <c r="B898">
        <f>'Shipment Data for Provisioning'!C903</f>
        <v>0</v>
      </c>
      <c r="C898">
        <f>'Shipment Data for Provisioning'!D903</f>
        <v>0</v>
      </c>
      <c r="D898">
        <f>'Shipment Data for Provisioning'!E903</f>
        <v>0</v>
      </c>
      <c r="E898">
        <f>'Shipment Data for Provisioning'!F903</f>
        <v>0</v>
      </c>
      <c r="F898">
        <f>'Shipment Data for Provisioning'!G903</f>
        <v>0</v>
      </c>
      <c r="G898">
        <f>'Shipment Data for Provisioning'!H903</f>
        <v>0</v>
      </c>
      <c r="H898">
        <f>'Shipment Data for Provisioning'!I903</f>
        <v>0</v>
      </c>
      <c r="I898" t="e">
        <f>VLOOKUP(B898,'Location Data'!$C$5:$G$1004,4,FALSE)</f>
        <v>#N/A</v>
      </c>
      <c r="J898" t="e">
        <f>VLOOKUP(B898,'Location Data'!$C$5:$G$1004,5,FALSE)</f>
        <v>#N/A</v>
      </c>
      <c r="K898" t="e">
        <f>VLOOKUP(C898,'Location Data'!$C$5:$G$1004,4,FALSE)</f>
        <v>#N/A</v>
      </c>
      <c r="L898" t="e">
        <f>VLOOKUP(C898,'Location Data'!$C$5:$G$1004,5,FALSE)</f>
        <v>#N/A</v>
      </c>
    </row>
    <row r="899" spans="1:12" x14ac:dyDescent="0.2">
      <c r="A899">
        <f>'Shipment Data for Provisioning'!B904</f>
        <v>0</v>
      </c>
      <c r="B899">
        <f>'Shipment Data for Provisioning'!C904</f>
        <v>0</v>
      </c>
      <c r="C899">
        <f>'Shipment Data for Provisioning'!D904</f>
        <v>0</v>
      </c>
      <c r="D899">
        <f>'Shipment Data for Provisioning'!E904</f>
        <v>0</v>
      </c>
      <c r="E899">
        <f>'Shipment Data for Provisioning'!F904</f>
        <v>0</v>
      </c>
      <c r="F899">
        <f>'Shipment Data for Provisioning'!G904</f>
        <v>0</v>
      </c>
      <c r="G899">
        <f>'Shipment Data for Provisioning'!H904</f>
        <v>0</v>
      </c>
      <c r="H899">
        <f>'Shipment Data for Provisioning'!I904</f>
        <v>0</v>
      </c>
      <c r="I899" t="e">
        <f>VLOOKUP(B899,'Location Data'!$C$5:$G$1004,4,FALSE)</f>
        <v>#N/A</v>
      </c>
      <c r="J899" t="e">
        <f>VLOOKUP(B899,'Location Data'!$C$5:$G$1004,5,FALSE)</f>
        <v>#N/A</v>
      </c>
      <c r="K899" t="e">
        <f>VLOOKUP(C899,'Location Data'!$C$5:$G$1004,4,FALSE)</f>
        <v>#N/A</v>
      </c>
      <c r="L899" t="e">
        <f>VLOOKUP(C899,'Location Data'!$C$5:$G$1004,5,FALSE)</f>
        <v>#N/A</v>
      </c>
    </row>
    <row r="900" spans="1:12" x14ac:dyDescent="0.2">
      <c r="A900">
        <f>'Shipment Data for Provisioning'!B905</f>
        <v>0</v>
      </c>
      <c r="B900">
        <f>'Shipment Data for Provisioning'!C905</f>
        <v>0</v>
      </c>
      <c r="C900">
        <f>'Shipment Data for Provisioning'!D905</f>
        <v>0</v>
      </c>
      <c r="D900">
        <f>'Shipment Data for Provisioning'!E905</f>
        <v>0</v>
      </c>
      <c r="E900">
        <f>'Shipment Data for Provisioning'!F905</f>
        <v>0</v>
      </c>
      <c r="F900">
        <f>'Shipment Data for Provisioning'!G905</f>
        <v>0</v>
      </c>
      <c r="G900">
        <f>'Shipment Data for Provisioning'!H905</f>
        <v>0</v>
      </c>
      <c r="H900">
        <f>'Shipment Data for Provisioning'!I905</f>
        <v>0</v>
      </c>
      <c r="I900" t="e">
        <f>VLOOKUP(B900,'Location Data'!$C$5:$G$1004,4,FALSE)</f>
        <v>#N/A</v>
      </c>
      <c r="J900" t="e">
        <f>VLOOKUP(B900,'Location Data'!$C$5:$G$1004,5,FALSE)</f>
        <v>#N/A</v>
      </c>
      <c r="K900" t="e">
        <f>VLOOKUP(C900,'Location Data'!$C$5:$G$1004,4,FALSE)</f>
        <v>#N/A</v>
      </c>
      <c r="L900" t="e">
        <f>VLOOKUP(C900,'Location Data'!$C$5:$G$1004,5,FALSE)</f>
        <v>#N/A</v>
      </c>
    </row>
    <row r="901" spans="1:12" x14ac:dyDescent="0.2">
      <c r="A901">
        <f>'Shipment Data for Provisioning'!B906</f>
        <v>0</v>
      </c>
      <c r="B901">
        <f>'Shipment Data for Provisioning'!C906</f>
        <v>0</v>
      </c>
      <c r="C901">
        <f>'Shipment Data for Provisioning'!D906</f>
        <v>0</v>
      </c>
      <c r="D901">
        <f>'Shipment Data for Provisioning'!E906</f>
        <v>0</v>
      </c>
      <c r="E901">
        <f>'Shipment Data for Provisioning'!F906</f>
        <v>0</v>
      </c>
      <c r="F901">
        <f>'Shipment Data for Provisioning'!G906</f>
        <v>0</v>
      </c>
      <c r="G901">
        <f>'Shipment Data for Provisioning'!H906</f>
        <v>0</v>
      </c>
      <c r="H901">
        <f>'Shipment Data for Provisioning'!I906</f>
        <v>0</v>
      </c>
      <c r="I901" t="e">
        <f>VLOOKUP(B901,'Location Data'!$C$5:$G$1004,4,FALSE)</f>
        <v>#N/A</v>
      </c>
      <c r="J901" t="e">
        <f>VLOOKUP(B901,'Location Data'!$C$5:$G$1004,5,FALSE)</f>
        <v>#N/A</v>
      </c>
      <c r="K901" t="e">
        <f>VLOOKUP(C901,'Location Data'!$C$5:$G$1004,4,FALSE)</f>
        <v>#N/A</v>
      </c>
      <c r="L901" t="e">
        <f>VLOOKUP(C901,'Location Data'!$C$5:$G$1004,5,FALSE)</f>
        <v>#N/A</v>
      </c>
    </row>
    <row r="902" spans="1:12" x14ac:dyDescent="0.2">
      <c r="A902">
        <f>'Shipment Data for Provisioning'!B907</f>
        <v>0</v>
      </c>
      <c r="B902">
        <f>'Shipment Data for Provisioning'!C907</f>
        <v>0</v>
      </c>
      <c r="C902">
        <f>'Shipment Data for Provisioning'!D907</f>
        <v>0</v>
      </c>
      <c r="D902">
        <f>'Shipment Data for Provisioning'!E907</f>
        <v>0</v>
      </c>
      <c r="E902">
        <f>'Shipment Data for Provisioning'!F907</f>
        <v>0</v>
      </c>
      <c r="F902">
        <f>'Shipment Data for Provisioning'!G907</f>
        <v>0</v>
      </c>
      <c r="G902">
        <f>'Shipment Data for Provisioning'!H907</f>
        <v>0</v>
      </c>
      <c r="H902">
        <f>'Shipment Data for Provisioning'!I907</f>
        <v>0</v>
      </c>
      <c r="I902" t="e">
        <f>VLOOKUP(B902,'Location Data'!$C$5:$G$1004,4,FALSE)</f>
        <v>#N/A</v>
      </c>
      <c r="J902" t="e">
        <f>VLOOKUP(B902,'Location Data'!$C$5:$G$1004,5,FALSE)</f>
        <v>#N/A</v>
      </c>
      <c r="K902" t="e">
        <f>VLOOKUP(C902,'Location Data'!$C$5:$G$1004,4,FALSE)</f>
        <v>#N/A</v>
      </c>
      <c r="L902" t="e">
        <f>VLOOKUP(C902,'Location Data'!$C$5:$G$1004,5,FALSE)</f>
        <v>#N/A</v>
      </c>
    </row>
    <row r="903" spans="1:12" x14ac:dyDescent="0.2">
      <c r="A903">
        <f>'Shipment Data for Provisioning'!B908</f>
        <v>0</v>
      </c>
      <c r="B903">
        <f>'Shipment Data for Provisioning'!C908</f>
        <v>0</v>
      </c>
      <c r="C903">
        <f>'Shipment Data for Provisioning'!D908</f>
        <v>0</v>
      </c>
      <c r="D903">
        <f>'Shipment Data for Provisioning'!E908</f>
        <v>0</v>
      </c>
      <c r="E903">
        <f>'Shipment Data for Provisioning'!F908</f>
        <v>0</v>
      </c>
      <c r="F903">
        <f>'Shipment Data for Provisioning'!G908</f>
        <v>0</v>
      </c>
      <c r="G903">
        <f>'Shipment Data for Provisioning'!H908</f>
        <v>0</v>
      </c>
      <c r="H903">
        <f>'Shipment Data for Provisioning'!I908</f>
        <v>0</v>
      </c>
      <c r="I903" t="e">
        <f>VLOOKUP(B903,'Location Data'!$C$5:$G$1004,4,FALSE)</f>
        <v>#N/A</v>
      </c>
      <c r="J903" t="e">
        <f>VLOOKUP(B903,'Location Data'!$C$5:$G$1004,5,FALSE)</f>
        <v>#N/A</v>
      </c>
      <c r="K903" t="e">
        <f>VLOOKUP(C903,'Location Data'!$C$5:$G$1004,4,FALSE)</f>
        <v>#N/A</v>
      </c>
      <c r="L903" t="e">
        <f>VLOOKUP(C903,'Location Data'!$C$5:$G$1004,5,FALSE)</f>
        <v>#N/A</v>
      </c>
    </row>
    <row r="904" spans="1:12" x14ac:dyDescent="0.2">
      <c r="A904">
        <f>'Shipment Data for Provisioning'!B909</f>
        <v>0</v>
      </c>
      <c r="B904">
        <f>'Shipment Data for Provisioning'!C909</f>
        <v>0</v>
      </c>
      <c r="C904">
        <f>'Shipment Data for Provisioning'!D909</f>
        <v>0</v>
      </c>
      <c r="D904">
        <f>'Shipment Data for Provisioning'!E909</f>
        <v>0</v>
      </c>
      <c r="E904">
        <f>'Shipment Data for Provisioning'!F909</f>
        <v>0</v>
      </c>
      <c r="F904">
        <f>'Shipment Data for Provisioning'!G909</f>
        <v>0</v>
      </c>
      <c r="G904">
        <f>'Shipment Data for Provisioning'!H909</f>
        <v>0</v>
      </c>
      <c r="H904">
        <f>'Shipment Data for Provisioning'!I909</f>
        <v>0</v>
      </c>
      <c r="I904" t="e">
        <f>VLOOKUP(B904,'Location Data'!$C$5:$G$1004,4,FALSE)</f>
        <v>#N/A</v>
      </c>
      <c r="J904" t="e">
        <f>VLOOKUP(B904,'Location Data'!$C$5:$G$1004,5,FALSE)</f>
        <v>#N/A</v>
      </c>
      <c r="K904" t="e">
        <f>VLOOKUP(C904,'Location Data'!$C$5:$G$1004,4,FALSE)</f>
        <v>#N/A</v>
      </c>
      <c r="L904" t="e">
        <f>VLOOKUP(C904,'Location Data'!$C$5:$G$1004,5,FALSE)</f>
        <v>#N/A</v>
      </c>
    </row>
    <row r="905" spans="1:12" x14ac:dyDescent="0.2">
      <c r="A905">
        <f>'Shipment Data for Provisioning'!B910</f>
        <v>0</v>
      </c>
      <c r="B905">
        <f>'Shipment Data for Provisioning'!C910</f>
        <v>0</v>
      </c>
      <c r="C905">
        <f>'Shipment Data for Provisioning'!D910</f>
        <v>0</v>
      </c>
      <c r="D905">
        <f>'Shipment Data for Provisioning'!E910</f>
        <v>0</v>
      </c>
      <c r="E905">
        <f>'Shipment Data for Provisioning'!F910</f>
        <v>0</v>
      </c>
      <c r="F905">
        <f>'Shipment Data for Provisioning'!G910</f>
        <v>0</v>
      </c>
      <c r="G905">
        <f>'Shipment Data for Provisioning'!H910</f>
        <v>0</v>
      </c>
      <c r="H905">
        <f>'Shipment Data for Provisioning'!I910</f>
        <v>0</v>
      </c>
      <c r="I905" t="e">
        <f>VLOOKUP(B905,'Location Data'!$C$5:$G$1004,4,FALSE)</f>
        <v>#N/A</v>
      </c>
      <c r="J905" t="e">
        <f>VLOOKUP(B905,'Location Data'!$C$5:$G$1004,5,FALSE)</f>
        <v>#N/A</v>
      </c>
      <c r="K905" t="e">
        <f>VLOOKUP(C905,'Location Data'!$C$5:$G$1004,4,FALSE)</f>
        <v>#N/A</v>
      </c>
      <c r="L905" t="e">
        <f>VLOOKUP(C905,'Location Data'!$C$5:$G$1004,5,FALSE)</f>
        <v>#N/A</v>
      </c>
    </row>
    <row r="906" spans="1:12" x14ac:dyDescent="0.2">
      <c r="A906">
        <f>'Shipment Data for Provisioning'!B911</f>
        <v>0</v>
      </c>
      <c r="B906">
        <f>'Shipment Data for Provisioning'!C911</f>
        <v>0</v>
      </c>
      <c r="C906">
        <f>'Shipment Data for Provisioning'!D911</f>
        <v>0</v>
      </c>
      <c r="D906">
        <f>'Shipment Data for Provisioning'!E911</f>
        <v>0</v>
      </c>
      <c r="E906">
        <f>'Shipment Data for Provisioning'!F911</f>
        <v>0</v>
      </c>
      <c r="F906">
        <f>'Shipment Data for Provisioning'!G911</f>
        <v>0</v>
      </c>
      <c r="G906">
        <f>'Shipment Data for Provisioning'!H911</f>
        <v>0</v>
      </c>
      <c r="H906">
        <f>'Shipment Data for Provisioning'!I911</f>
        <v>0</v>
      </c>
      <c r="I906" t="e">
        <f>VLOOKUP(B906,'Location Data'!$C$5:$G$1004,4,FALSE)</f>
        <v>#N/A</v>
      </c>
      <c r="J906" t="e">
        <f>VLOOKUP(B906,'Location Data'!$C$5:$G$1004,5,FALSE)</f>
        <v>#N/A</v>
      </c>
      <c r="K906" t="e">
        <f>VLOOKUP(C906,'Location Data'!$C$5:$G$1004,4,FALSE)</f>
        <v>#N/A</v>
      </c>
      <c r="L906" t="e">
        <f>VLOOKUP(C906,'Location Data'!$C$5:$G$1004,5,FALSE)</f>
        <v>#N/A</v>
      </c>
    </row>
    <row r="907" spans="1:12" x14ac:dyDescent="0.2">
      <c r="A907">
        <f>'Shipment Data for Provisioning'!B912</f>
        <v>0</v>
      </c>
      <c r="B907">
        <f>'Shipment Data for Provisioning'!C912</f>
        <v>0</v>
      </c>
      <c r="C907">
        <f>'Shipment Data for Provisioning'!D912</f>
        <v>0</v>
      </c>
      <c r="D907">
        <f>'Shipment Data for Provisioning'!E912</f>
        <v>0</v>
      </c>
      <c r="E907">
        <f>'Shipment Data for Provisioning'!F912</f>
        <v>0</v>
      </c>
      <c r="F907">
        <f>'Shipment Data for Provisioning'!G912</f>
        <v>0</v>
      </c>
      <c r="G907">
        <f>'Shipment Data for Provisioning'!H912</f>
        <v>0</v>
      </c>
      <c r="H907">
        <f>'Shipment Data for Provisioning'!I912</f>
        <v>0</v>
      </c>
      <c r="I907" t="e">
        <f>VLOOKUP(B907,'Location Data'!$C$5:$G$1004,4,FALSE)</f>
        <v>#N/A</v>
      </c>
      <c r="J907" t="e">
        <f>VLOOKUP(B907,'Location Data'!$C$5:$G$1004,5,FALSE)</f>
        <v>#N/A</v>
      </c>
      <c r="K907" t="e">
        <f>VLOOKUP(C907,'Location Data'!$C$5:$G$1004,4,FALSE)</f>
        <v>#N/A</v>
      </c>
      <c r="L907" t="e">
        <f>VLOOKUP(C907,'Location Data'!$C$5:$G$1004,5,FALSE)</f>
        <v>#N/A</v>
      </c>
    </row>
    <row r="908" spans="1:12" x14ac:dyDescent="0.2">
      <c r="A908">
        <f>'Shipment Data for Provisioning'!B913</f>
        <v>0</v>
      </c>
      <c r="B908">
        <f>'Shipment Data for Provisioning'!C913</f>
        <v>0</v>
      </c>
      <c r="C908">
        <f>'Shipment Data for Provisioning'!D913</f>
        <v>0</v>
      </c>
      <c r="D908">
        <f>'Shipment Data for Provisioning'!E913</f>
        <v>0</v>
      </c>
      <c r="E908">
        <f>'Shipment Data for Provisioning'!F913</f>
        <v>0</v>
      </c>
      <c r="F908">
        <f>'Shipment Data for Provisioning'!G913</f>
        <v>0</v>
      </c>
      <c r="G908">
        <f>'Shipment Data for Provisioning'!H913</f>
        <v>0</v>
      </c>
      <c r="H908">
        <f>'Shipment Data for Provisioning'!I913</f>
        <v>0</v>
      </c>
      <c r="I908" t="e">
        <f>VLOOKUP(B908,'Location Data'!$C$5:$G$1004,4,FALSE)</f>
        <v>#N/A</v>
      </c>
      <c r="J908" t="e">
        <f>VLOOKUP(B908,'Location Data'!$C$5:$G$1004,5,FALSE)</f>
        <v>#N/A</v>
      </c>
      <c r="K908" t="e">
        <f>VLOOKUP(C908,'Location Data'!$C$5:$G$1004,4,FALSE)</f>
        <v>#N/A</v>
      </c>
      <c r="L908" t="e">
        <f>VLOOKUP(C908,'Location Data'!$C$5:$G$1004,5,FALSE)</f>
        <v>#N/A</v>
      </c>
    </row>
    <row r="909" spans="1:12" x14ac:dyDescent="0.2">
      <c r="A909">
        <f>'Shipment Data for Provisioning'!B914</f>
        <v>0</v>
      </c>
      <c r="B909">
        <f>'Shipment Data for Provisioning'!C914</f>
        <v>0</v>
      </c>
      <c r="C909">
        <f>'Shipment Data for Provisioning'!D914</f>
        <v>0</v>
      </c>
      <c r="D909">
        <f>'Shipment Data for Provisioning'!E914</f>
        <v>0</v>
      </c>
      <c r="E909">
        <f>'Shipment Data for Provisioning'!F914</f>
        <v>0</v>
      </c>
      <c r="F909">
        <f>'Shipment Data for Provisioning'!G914</f>
        <v>0</v>
      </c>
      <c r="G909">
        <f>'Shipment Data for Provisioning'!H914</f>
        <v>0</v>
      </c>
      <c r="H909">
        <f>'Shipment Data for Provisioning'!I914</f>
        <v>0</v>
      </c>
      <c r="I909" t="e">
        <f>VLOOKUP(B909,'Location Data'!$C$5:$G$1004,4,FALSE)</f>
        <v>#N/A</v>
      </c>
      <c r="J909" t="e">
        <f>VLOOKUP(B909,'Location Data'!$C$5:$G$1004,5,FALSE)</f>
        <v>#N/A</v>
      </c>
      <c r="K909" t="e">
        <f>VLOOKUP(C909,'Location Data'!$C$5:$G$1004,4,FALSE)</f>
        <v>#N/A</v>
      </c>
      <c r="L909" t="e">
        <f>VLOOKUP(C909,'Location Data'!$C$5:$G$1004,5,FALSE)</f>
        <v>#N/A</v>
      </c>
    </row>
    <row r="910" spans="1:12" x14ac:dyDescent="0.2">
      <c r="A910">
        <f>'Shipment Data for Provisioning'!B915</f>
        <v>0</v>
      </c>
      <c r="B910">
        <f>'Shipment Data for Provisioning'!C915</f>
        <v>0</v>
      </c>
      <c r="C910">
        <f>'Shipment Data for Provisioning'!D915</f>
        <v>0</v>
      </c>
      <c r="D910">
        <f>'Shipment Data for Provisioning'!E915</f>
        <v>0</v>
      </c>
      <c r="E910">
        <f>'Shipment Data for Provisioning'!F915</f>
        <v>0</v>
      </c>
      <c r="F910">
        <f>'Shipment Data for Provisioning'!G915</f>
        <v>0</v>
      </c>
      <c r="G910">
        <f>'Shipment Data for Provisioning'!H915</f>
        <v>0</v>
      </c>
      <c r="H910">
        <f>'Shipment Data for Provisioning'!I915</f>
        <v>0</v>
      </c>
      <c r="I910" t="e">
        <f>VLOOKUP(B910,'Location Data'!$C$5:$G$1004,4,FALSE)</f>
        <v>#N/A</v>
      </c>
      <c r="J910" t="e">
        <f>VLOOKUP(B910,'Location Data'!$C$5:$G$1004,5,FALSE)</f>
        <v>#N/A</v>
      </c>
      <c r="K910" t="e">
        <f>VLOOKUP(C910,'Location Data'!$C$5:$G$1004,4,FALSE)</f>
        <v>#N/A</v>
      </c>
      <c r="L910" t="e">
        <f>VLOOKUP(C910,'Location Data'!$C$5:$G$1004,5,FALSE)</f>
        <v>#N/A</v>
      </c>
    </row>
    <row r="911" spans="1:12" x14ac:dyDescent="0.2">
      <c r="A911">
        <f>'Shipment Data for Provisioning'!B916</f>
        <v>0</v>
      </c>
      <c r="B911">
        <f>'Shipment Data for Provisioning'!C916</f>
        <v>0</v>
      </c>
      <c r="C911">
        <f>'Shipment Data for Provisioning'!D916</f>
        <v>0</v>
      </c>
      <c r="D911">
        <f>'Shipment Data for Provisioning'!E916</f>
        <v>0</v>
      </c>
      <c r="E911">
        <f>'Shipment Data for Provisioning'!F916</f>
        <v>0</v>
      </c>
      <c r="F911">
        <f>'Shipment Data for Provisioning'!G916</f>
        <v>0</v>
      </c>
      <c r="G911">
        <f>'Shipment Data for Provisioning'!H916</f>
        <v>0</v>
      </c>
      <c r="H911">
        <f>'Shipment Data for Provisioning'!I916</f>
        <v>0</v>
      </c>
      <c r="I911" t="e">
        <f>VLOOKUP(B911,'Location Data'!$C$5:$G$1004,4,FALSE)</f>
        <v>#N/A</v>
      </c>
      <c r="J911" t="e">
        <f>VLOOKUP(B911,'Location Data'!$C$5:$G$1004,5,FALSE)</f>
        <v>#N/A</v>
      </c>
      <c r="K911" t="e">
        <f>VLOOKUP(C911,'Location Data'!$C$5:$G$1004,4,FALSE)</f>
        <v>#N/A</v>
      </c>
      <c r="L911" t="e">
        <f>VLOOKUP(C911,'Location Data'!$C$5:$G$1004,5,FALSE)</f>
        <v>#N/A</v>
      </c>
    </row>
    <row r="912" spans="1:12" x14ac:dyDescent="0.2">
      <c r="A912">
        <f>'Shipment Data for Provisioning'!B917</f>
        <v>0</v>
      </c>
      <c r="B912">
        <f>'Shipment Data for Provisioning'!C917</f>
        <v>0</v>
      </c>
      <c r="C912">
        <f>'Shipment Data for Provisioning'!D917</f>
        <v>0</v>
      </c>
      <c r="D912">
        <f>'Shipment Data for Provisioning'!E917</f>
        <v>0</v>
      </c>
      <c r="E912">
        <f>'Shipment Data for Provisioning'!F917</f>
        <v>0</v>
      </c>
      <c r="F912">
        <f>'Shipment Data for Provisioning'!G917</f>
        <v>0</v>
      </c>
      <c r="G912">
        <f>'Shipment Data for Provisioning'!H917</f>
        <v>0</v>
      </c>
      <c r="H912">
        <f>'Shipment Data for Provisioning'!I917</f>
        <v>0</v>
      </c>
      <c r="I912" t="e">
        <f>VLOOKUP(B912,'Location Data'!$C$5:$G$1004,4,FALSE)</f>
        <v>#N/A</v>
      </c>
      <c r="J912" t="e">
        <f>VLOOKUP(B912,'Location Data'!$C$5:$G$1004,5,FALSE)</f>
        <v>#N/A</v>
      </c>
      <c r="K912" t="e">
        <f>VLOOKUP(C912,'Location Data'!$C$5:$G$1004,4,FALSE)</f>
        <v>#N/A</v>
      </c>
      <c r="L912" t="e">
        <f>VLOOKUP(C912,'Location Data'!$C$5:$G$1004,5,FALSE)</f>
        <v>#N/A</v>
      </c>
    </row>
    <row r="913" spans="1:12" x14ac:dyDescent="0.2">
      <c r="A913">
        <f>'Shipment Data for Provisioning'!B918</f>
        <v>0</v>
      </c>
      <c r="B913">
        <f>'Shipment Data for Provisioning'!C918</f>
        <v>0</v>
      </c>
      <c r="C913">
        <f>'Shipment Data for Provisioning'!D918</f>
        <v>0</v>
      </c>
      <c r="D913">
        <f>'Shipment Data for Provisioning'!E918</f>
        <v>0</v>
      </c>
      <c r="E913">
        <f>'Shipment Data for Provisioning'!F918</f>
        <v>0</v>
      </c>
      <c r="F913">
        <f>'Shipment Data for Provisioning'!G918</f>
        <v>0</v>
      </c>
      <c r="G913">
        <f>'Shipment Data for Provisioning'!H918</f>
        <v>0</v>
      </c>
      <c r="H913">
        <f>'Shipment Data for Provisioning'!I918</f>
        <v>0</v>
      </c>
      <c r="I913" t="e">
        <f>VLOOKUP(B913,'Location Data'!$C$5:$G$1004,4,FALSE)</f>
        <v>#N/A</v>
      </c>
      <c r="J913" t="e">
        <f>VLOOKUP(B913,'Location Data'!$C$5:$G$1004,5,FALSE)</f>
        <v>#N/A</v>
      </c>
      <c r="K913" t="e">
        <f>VLOOKUP(C913,'Location Data'!$C$5:$G$1004,4,FALSE)</f>
        <v>#N/A</v>
      </c>
      <c r="L913" t="e">
        <f>VLOOKUP(C913,'Location Data'!$C$5:$G$1004,5,FALSE)</f>
        <v>#N/A</v>
      </c>
    </row>
    <row r="914" spans="1:12" x14ac:dyDescent="0.2">
      <c r="A914">
        <f>'Shipment Data for Provisioning'!B919</f>
        <v>0</v>
      </c>
      <c r="B914">
        <f>'Shipment Data for Provisioning'!C919</f>
        <v>0</v>
      </c>
      <c r="C914">
        <f>'Shipment Data for Provisioning'!D919</f>
        <v>0</v>
      </c>
      <c r="D914">
        <f>'Shipment Data for Provisioning'!E919</f>
        <v>0</v>
      </c>
      <c r="E914">
        <f>'Shipment Data for Provisioning'!F919</f>
        <v>0</v>
      </c>
      <c r="F914">
        <f>'Shipment Data for Provisioning'!G919</f>
        <v>0</v>
      </c>
      <c r="G914">
        <f>'Shipment Data for Provisioning'!H919</f>
        <v>0</v>
      </c>
      <c r="H914">
        <f>'Shipment Data for Provisioning'!I919</f>
        <v>0</v>
      </c>
      <c r="I914" t="e">
        <f>VLOOKUP(B914,'Location Data'!$C$5:$G$1004,4,FALSE)</f>
        <v>#N/A</v>
      </c>
      <c r="J914" t="e">
        <f>VLOOKUP(B914,'Location Data'!$C$5:$G$1004,5,FALSE)</f>
        <v>#N/A</v>
      </c>
      <c r="K914" t="e">
        <f>VLOOKUP(C914,'Location Data'!$C$5:$G$1004,4,FALSE)</f>
        <v>#N/A</v>
      </c>
      <c r="L914" t="e">
        <f>VLOOKUP(C914,'Location Data'!$C$5:$G$1004,5,FALSE)</f>
        <v>#N/A</v>
      </c>
    </row>
    <row r="915" spans="1:12" x14ac:dyDescent="0.2">
      <c r="A915">
        <f>'Shipment Data for Provisioning'!B920</f>
        <v>0</v>
      </c>
      <c r="B915">
        <f>'Shipment Data for Provisioning'!C920</f>
        <v>0</v>
      </c>
      <c r="C915">
        <f>'Shipment Data for Provisioning'!D920</f>
        <v>0</v>
      </c>
      <c r="D915">
        <f>'Shipment Data for Provisioning'!E920</f>
        <v>0</v>
      </c>
      <c r="E915">
        <f>'Shipment Data for Provisioning'!F920</f>
        <v>0</v>
      </c>
      <c r="F915">
        <f>'Shipment Data for Provisioning'!G920</f>
        <v>0</v>
      </c>
      <c r="G915">
        <f>'Shipment Data for Provisioning'!H920</f>
        <v>0</v>
      </c>
      <c r="H915">
        <f>'Shipment Data for Provisioning'!I920</f>
        <v>0</v>
      </c>
      <c r="I915" t="e">
        <f>VLOOKUP(B915,'Location Data'!$C$5:$G$1004,4,FALSE)</f>
        <v>#N/A</v>
      </c>
      <c r="J915" t="e">
        <f>VLOOKUP(B915,'Location Data'!$C$5:$G$1004,5,FALSE)</f>
        <v>#N/A</v>
      </c>
      <c r="K915" t="e">
        <f>VLOOKUP(C915,'Location Data'!$C$5:$G$1004,4,FALSE)</f>
        <v>#N/A</v>
      </c>
      <c r="L915" t="e">
        <f>VLOOKUP(C915,'Location Data'!$C$5:$G$1004,5,FALSE)</f>
        <v>#N/A</v>
      </c>
    </row>
    <row r="916" spans="1:12" x14ac:dyDescent="0.2">
      <c r="A916">
        <f>'Shipment Data for Provisioning'!B921</f>
        <v>0</v>
      </c>
      <c r="B916">
        <f>'Shipment Data for Provisioning'!C921</f>
        <v>0</v>
      </c>
      <c r="C916">
        <f>'Shipment Data for Provisioning'!D921</f>
        <v>0</v>
      </c>
      <c r="D916">
        <f>'Shipment Data for Provisioning'!E921</f>
        <v>0</v>
      </c>
      <c r="E916">
        <f>'Shipment Data for Provisioning'!F921</f>
        <v>0</v>
      </c>
      <c r="F916">
        <f>'Shipment Data for Provisioning'!G921</f>
        <v>0</v>
      </c>
      <c r="G916">
        <f>'Shipment Data for Provisioning'!H921</f>
        <v>0</v>
      </c>
      <c r="H916">
        <f>'Shipment Data for Provisioning'!I921</f>
        <v>0</v>
      </c>
      <c r="I916" t="e">
        <f>VLOOKUP(B916,'Location Data'!$C$5:$G$1004,4,FALSE)</f>
        <v>#N/A</v>
      </c>
      <c r="J916" t="e">
        <f>VLOOKUP(B916,'Location Data'!$C$5:$G$1004,5,FALSE)</f>
        <v>#N/A</v>
      </c>
      <c r="K916" t="e">
        <f>VLOOKUP(C916,'Location Data'!$C$5:$G$1004,4,FALSE)</f>
        <v>#N/A</v>
      </c>
      <c r="L916" t="e">
        <f>VLOOKUP(C916,'Location Data'!$C$5:$G$1004,5,FALSE)</f>
        <v>#N/A</v>
      </c>
    </row>
    <row r="917" spans="1:12" x14ac:dyDescent="0.2">
      <c r="A917">
        <f>'Shipment Data for Provisioning'!B922</f>
        <v>0</v>
      </c>
      <c r="B917">
        <f>'Shipment Data for Provisioning'!C922</f>
        <v>0</v>
      </c>
      <c r="C917">
        <f>'Shipment Data for Provisioning'!D922</f>
        <v>0</v>
      </c>
      <c r="D917">
        <f>'Shipment Data for Provisioning'!E922</f>
        <v>0</v>
      </c>
      <c r="E917">
        <f>'Shipment Data for Provisioning'!F922</f>
        <v>0</v>
      </c>
      <c r="F917">
        <f>'Shipment Data for Provisioning'!G922</f>
        <v>0</v>
      </c>
      <c r="G917">
        <f>'Shipment Data for Provisioning'!H922</f>
        <v>0</v>
      </c>
      <c r="H917">
        <f>'Shipment Data for Provisioning'!I922</f>
        <v>0</v>
      </c>
      <c r="I917" t="e">
        <f>VLOOKUP(B917,'Location Data'!$C$5:$G$1004,4,FALSE)</f>
        <v>#N/A</v>
      </c>
      <c r="J917" t="e">
        <f>VLOOKUP(B917,'Location Data'!$C$5:$G$1004,5,FALSE)</f>
        <v>#N/A</v>
      </c>
      <c r="K917" t="e">
        <f>VLOOKUP(C917,'Location Data'!$C$5:$G$1004,4,FALSE)</f>
        <v>#N/A</v>
      </c>
      <c r="L917" t="e">
        <f>VLOOKUP(C917,'Location Data'!$C$5:$G$1004,5,FALSE)</f>
        <v>#N/A</v>
      </c>
    </row>
    <row r="918" spans="1:12" x14ac:dyDescent="0.2">
      <c r="A918">
        <f>'Shipment Data for Provisioning'!B923</f>
        <v>0</v>
      </c>
      <c r="B918">
        <f>'Shipment Data for Provisioning'!C923</f>
        <v>0</v>
      </c>
      <c r="C918">
        <f>'Shipment Data for Provisioning'!D923</f>
        <v>0</v>
      </c>
      <c r="D918">
        <f>'Shipment Data for Provisioning'!E923</f>
        <v>0</v>
      </c>
      <c r="E918">
        <f>'Shipment Data for Provisioning'!F923</f>
        <v>0</v>
      </c>
      <c r="F918">
        <f>'Shipment Data for Provisioning'!G923</f>
        <v>0</v>
      </c>
      <c r="G918">
        <f>'Shipment Data for Provisioning'!H923</f>
        <v>0</v>
      </c>
      <c r="H918">
        <f>'Shipment Data for Provisioning'!I923</f>
        <v>0</v>
      </c>
      <c r="I918" t="e">
        <f>VLOOKUP(B918,'Location Data'!$C$5:$G$1004,4,FALSE)</f>
        <v>#N/A</v>
      </c>
      <c r="J918" t="e">
        <f>VLOOKUP(B918,'Location Data'!$C$5:$G$1004,5,FALSE)</f>
        <v>#N/A</v>
      </c>
      <c r="K918" t="e">
        <f>VLOOKUP(C918,'Location Data'!$C$5:$G$1004,4,FALSE)</f>
        <v>#N/A</v>
      </c>
      <c r="L918" t="e">
        <f>VLOOKUP(C918,'Location Data'!$C$5:$G$1004,5,FALSE)</f>
        <v>#N/A</v>
      </c>
    </row>
    <row r="919" spans="1:12" x14ac:dyDescent="0.2">
      <c r="A919">
        <f>'Shipment Data for Provisioning'!B924</f>
        <v>0</v>
      </c>
      <c r="B919">
        <f>'Shipment Data for Provisioning'!C924</f>
        <v>0</v>
      </c>
      <c r="C919">
        <f>'Shipment Data for Provisioning'!D924</f>
        <v>0</v>
      </c>
      <c r="D919">
        <f>'Shipment Data for Provisioning'!E924</f>
        <v>0</v>
      </c>
      <c r="E919">
        <f>'Shipment Data for Provisioning'!F924</f>
        <v>0</v>
      </c>
      <c r="F919">
        <f>'Shipment Data for Provisioning'!G924</f>
        <v>0</v>
      </c>
      <c r="G919">
        <f>'Shipment Data for Provisioning'!H924</f>
        <v>0</v>
      </c>
      <c r="H919">
        <f>'Shipment Data for Provisioning'!I924</f>
        <v>0</v>
      </c>
      <c r="I919" t="e">
        <f>VLOOKUP(B919,'Location Data'!$C$5:$G$1004,4,FALSE)</f>
        <v>#N/A</v>
      </c>
      <c r="J919" t="e">
        <f>VLOOKUP(B919,'Location Data'!$C$5:$G$1004,5,FALSE)</f>
        <v>#N/A</v>
      </c>
      <c r="K919" t="e">
        <f>VLOOKUP(C919,'Location Data'!$C$5:$G$1004,4,FALSE)</f>
        <v>#N/A</v>
      </c>
      <c r="L919" t="e">
        <f>VLOOKUP(C919,'Location Data'!$C$5:$G$1004,5,FALSE)</f>
        <v>#N/A</v>
      </c>
    </row>
    <row r="920" spans="1:12" x14ac:dyDescent="0.2">
      <c r="A920">
        <f>'Shipment Data for Provisioning'!B925</f>
        <v>0</v>
      </c>
      <c r="B920">
        <f>'Shipment Data for Provisioning'!C925</f>
        <v>0</v>
      </c>
      <c r="C920">
        <f>'Shipment Data for Provisioning'!D925</f>
        <v>0</v>
      </c>
      <c r="D920">
        <f>'Shipment Data for Provisioning'!E925</f>
        <v>0</v>
      </c>
      <c r="E920">
        <f>'Shipment Data for Provisioning'!F925</f>
        <v>0</v>
      </c>
      <c r="F920">
        <f>'Shipment Data for Provisioning'!G925</f>
        <v>0</v>
      </c>
      <c r="G920">
        <f>'Shipment Data for Provisioning'!H925</f>
        <v>0</v>
      </c>
      <c r="H920">
        <f>'Shipment Data for Provisioning'!I925</f>
        <v>0</v>
      </c>
      <c r="I920" t="e">
        <f>VLOOKUP(B920,'Location Data'!$C$5:$G$1004,4,FALSE)</f>
        <v>#N/A</v>
      </c>
      <c r="J920" t="e">
        <f>VLOOKUP(B920,'Location Data'!$C$5:$G$1004,5,FALSE)</f>
        <v>#N/A</v>
      </c>
      <c r="K920" t="e">
        <f>VLOOKUP(C920,'Location Data'!$C$5:$G$1004,4,FALSE)</f>
        <v>#N/A</v>
      </c>
      <c r="L920" t="e">
        <f>VLOOKUP(C920,'Location Data'!$C$5:$G$1004,5,FALSE)</f>
        <v>#N/A</v>
      </c>
    </row>
    <row r="921" spans="1:12" x14ac:dyDescent="0.2">
      <c r="A921">
        <f>'Shipment Data for Provisioning'!B926</f>
        <v>0</v>
      </c>
      <c r="B921">
        <f>'Shipment Data for Provisioning'!C926</f>
        <v>0</v>
      </c>
      <c r="C921">
        <f>'Shipment Data for Provisioning'!D926</f>
        <v>0</v>
      </c>
      <c r="D921">
        <f>'Shipment Data for Provisioning'!E926</f>
        <v>0</v>
      </c>
      <c r="E921">
        <f>'Shipment Data for Provisioning'!F926</f>
        <v>0</v>
      </c>
      <c r="F921">
        <f>'Shipment Data for Provisioning'!G926</f>
        <v>0</v>
      </c>
      <c r="G921">
        <f>'Shipment Data for Provisioning'!H926</f>
        <v>0</v>
      </c>
      <c r="H921">
        <f>'Shipment Data for Provisioning'!I926</f>
        <v>0</v>
      </c>
      <c r="I921" t="e">
        <f>VLOOKUP(B921,'Location Data'!$C$5:$G$1004,4,FALSE)</f>
        <v>#N/A</v>
      </c>
      <c r="J921" t="e">
        <f>VLOOKUP(B921,'Location Data'!$C$5:$G$1004,5,FALSE)</f>
        <v>#N/A</v>
      </c>
      <c r="K921" t="e">
        <f>VLOOKUP(C921,'Location Data'!$C$5:$G$1004,4,FALSE)</f>
        <v>#N/A</v>
      </c>
      <c r="L921" t="e">
        <f>VLOOKUP(C921,'Location Data'!$C$5:$G$1004,5,FALSE)</f>
        <v>#N/A</v>
      </c>
    </row>
    <row r="922" spans="1:12" x14ac:dyDescent="0.2">
      <c r="A922">
        <f>'Shipment Data for Provisioning'!B927</f>
        <v>0</v>
      </c>
      <c r="B922">
        <f>'Shipment Data for Provisioning'!C927</f>
        <v>0</v>
      </c>
      <c r="C922">
        <f>'Shipment Data for Provisioning'!D927</f>
        <v>0</v>
      </c>
      <c r="D922">
        <f>'Shipment Data for Provisioning'!E927</f>
        <v>0</v>
      </c>
      <c r="E922">
        <f>'Shipment Data for Provisioning'!F927</f>
        <v>0</v>
      </c>
      <c r="F922">
        <f>'Shipment Data for Provisioning'!G927</f>
        <v>0</v>
      </c>
      <c r="G922">
        <f>'Shipment Data for Provisioning'!H927</f>
        <v>0</v>
      </c>
      <c r="H922">
        <f>'Shipment Data for Provisioning'!I927</f>
        <v>0</v>
      </c>
      <c r="I922" t="e">
        <f>VLOOKUP(B922,'Location Data'!$C$5:$G$1004,4,FALSE)</f>
        <v>#N/A</v>
      </c>
      <c r="J922" t="e">
        <f>VLOOKUP(B922,'Location Data'!$C$5:$G$1004,5,FALSE)</f>
        <v>#N/A</v>
      </c>
      <c r="K922" t="e">
        <f>VLOOKUP(C922,'Location Data'!$C$5:$G$1004,4,FALSE)</f>
        <v>#N/A</v>
      </c>
      <c r="L922" t="e">
        <f>VLOOKUP(C922,'Location Data'!$C$5:$G$1004,5,FALSE)</f>
        <v>#N/A</v>
      </c>
    </row>
    <row r="923" spans="1:12" x14ac:dyDescent="0.2">
      <c r="A923">
        <f>'Shipment Data for Provisioning'!B928</f>
        <v>0</v>
      </c>
      <c r="B923">
        <f>'Shipment Data for Provisioning'!C928</f>
        <v>0</v>
      </c>
      <c r="C923">
        <f>'Shipment Data for Provisioning'!D928</f>
        <v>0</v>
      </c>
      <c r="D923">
        <f>'Shipment Data for Provisioning'!E928</f>
        <v>0</v>
      </c>
      <c r="E923">
        <f>'Shipment Data for Provisioning'!F928</f>
        <v>0</v>
      </c>
      <c r="F923">
        <f>'Shipment Data for Provisioning'!G928</f>
        <v>0</v>
      </c>
      <c r="G923">
        <f>'Shipment Data for Provisioning'!H928</f>
        <v>0</v>
      </c>
      <c r="H923">
        <f>'Shipment Data for Provisioning'!I928</f>
        <v>0</v>
      </c>
      <c r="I923" t="e">
        <f>VLOOKUP(B923,'Location Data'!$C$5:$G$1004,4,FALSE)</f>
        <v>#N/A</v>
      </c>
      <c r="J923" t="e">
        <f>VLOOKUP(B923,'Location Data'!$C$5:$G$1004,5,FALSE)</f>
        <v>#N/A</v>
      </c>
      <c r="K923" t="e">
        <f>VLOOKUP(C923,'Location Data'!$C$5:$G$1004,4,FALSE)</f>
        <v>#N/A</v>
      </c>
      <c r="L923" t="e">
        <f>VLOOKUP(C923,'Location Data'!$C$5:$G$1004,5,FALSE)</f>
        <v>#N/A</v>
      </c>
    </row>
    <row r="924" spans="1:12" x14ac:dyDescent="0.2">
      <c r="A924">
        <f>'Shipment Data for Provisioning'!B929</f>
        <v>0</v>
      </c>
      <c r="B924">
        <f>'Shipment Data for Provisioning'!C929</f>
        <v>0</v>
      </c>
      <c r="C924">
        <f>'Shipment Data for Provisioning'!D929</f>
        <v>0</v>
      </c>
      <c r="D924">
        <f>'Shipment Data for Provisioning'!E929</f>
        <v>0</v>
      </c>
      <c r="E924">
        <f>'Shipment Data for Provisioning'!F929</f>
        <v>0</v>
      </c>
      <c r="F924">
        <f>'Shipment Data for Provisioning'!G929</f>
        <v>0</v>
      </c>
      <c r="G924">
        <f>'Shipment Data for Provisioning'!H929</f>
        <v>0</v>
      </c>
      <c r="H924">
        <f>'Shipment Data for Provisioning'!I929</f>
        <v>0</v>
      </c>
      <c r="I924" t="e">
        <f>VLOOKUP(B924,'Location Data'!$C$5:$G$1004,4,FALSE)</f>
        <v>#N/A</v>
      </c>
      <c r="J924" t="e">
        <f>VLOOKUP(B924,'Location Data'!$C$5:$G$1004,5,FALSE)</f>
        <v>#N/A</v>
      </c>
      <c r="K924" t="e">
        <f>VLOOKUP(C924,'Location Data'!$C$5:$G$1004,4,FALSE)</f>
        <v>#N/A</v>
      </c>
      <c r="L924" t="e">
        <f>VLOOKUP(C924,'Location Data'!$C$5:$G$1004,5,FALSE)</f>
        <v>#N/A</v>
      </c>
    </row>
    <row r="925" spans="1:12" x14ac:dyDescent="0.2">
      <c r="A925">
        <f>'Shipment Data for Provisioning'!B930</f>
        <v>0</v>
      </c>
      <c r="B925">
        <f>'Shipment Data for Provisioning'!C930</f>
        <v>0</v>
      </c>
      <c r="C925">
        <f>'Shipment Data for Provisioning'!D930</f>
        <v>0</v>
      </c>
      <c r="D925">
        <f>'Shipment Data for Provisioning'!E930</f>
        <v>0</v>
      </c>
      <c r="E925">
        <f>'Shipment Data for Provisioning'!F930</f>
        <v>0</v>
      </c>
      <c r="F925">
        <f>'Shipment Data for Provisioning'!G930</f>
        <v>0</v>
      </c>
      <c r="G925">
        <f>'Shipment Data for Provisioning'!H930</f>
        <v>0</v>
      </c>
      <c r="H925">
        <f>'Shipment Data for Provisioning'!I930</f>
        <v>0</v>
      </c>
      <c r="I925" t="e">
        <f>VLOOKUP(B925,'Location Data'!$C$5:$G$1004,4,FALSE)</f>
        <v>#N/A</v>
      </c>
      <c r="J925" t="e">
        <f>VLOOKUP(B925,'Location Data'!$C$5:$G$1004,5,FALSE)</f>
        <v>#N/A</v>
      </c>
      <c r="K925" t="e">
        <f>VLOOKUP(C925,'Location Data'!$C$5:$G$1004,4,FALSE)</f>
        <v>#N/A</v>
      </c>
      <c r="L925" t="e">
        <f>VLOOKUP(C925,'Location Data'!$C$5:$G$1004,5,FALSE)</f>
        <v>#N/A</v>
      </c>
    </row>
    <row r="926" spans="1:12" x14ac:dyDescent="0.2">
      <c r="A926">
        <f>'Shipment Data for Provisioning'!B931</f>
        <v>0</v>
      </c>
      <c r="B926">
        <f>'Shipment Data for Provisioning'!C931</f>
        <v>0</v>
      </c>
      <c r="C926">
        <f>'Shipment Data for Provisioning'!D931</f>
        <v>0</v>
      </c>
      <c r="D926">
        <f>'Shipment Data for Provisioning'!E931</f>
        <v>0</v>
      </c>
      <c r="E926">
        <f>'Shipment Data for Provisioning'!F931</f>
        <v>0</v>
      </c>
      <c r="F926">
        <f>'Shipment Data for Provisioning'!G931</f>
        <v>0</v>
      </c>
      <c r="G926">
        <f>'Shipment Data for Provisioning'!H931</f>
        <v>0</v>
      </c>
      <c r="H926">
        <f>'Shipment Data for Provisioning'!I931</f>
        <v>0</v>
      </c>
      <c r="I926" t="e">
        <f>VLOOKUP(B926,'Location Data'!$C$5:$G$1004,4,FALSE)</f>
        <v>#N/A</v>
      </c>
      <c r="J926" t="e">
        <f>VLOOKUP(B926,'Location Data'!$C$5:$G$1004,5,FALSE)</f>
        <v>#N/A</v>
      </c>
      <c r="K926" t="e">
        <f>VLOOKUP(C926,'Location Data'!$C$5:$G$1004,4,FALSE)</f>
        <v>#N/A</v>
      </c>
      <c r="L926" t="e">
        <f>VLOOKUP(C926,'Location Data'!$C$5:$G$1004,5,FALSE)</f>
        <v>#N/A</v>
      </c>
    </row>
    <row r="927" spans="1:12" x14ac:dyDescent="0.2">
      <c r="A927">
        <f>'Shipment Data for Provisioning'!B932</f>
        <v>0</v>
      </c>
      <c r="B927">
        <f>'Shipment Data for Provisioning'!C932</f>
        <v>0</v>
      </c>
      <c r="C927">
        <f>'Shipment Data for Provisioning'!D932</f>
        <v>0</v>
      </c>
      <c r="D927">
        <f>'Shipment Data for Provisioning'!E932</f>
        <v>0</v>
      </c>
      <c r="E927">
        <f>'Shipment Data for Provisioning'!F932</f>
        <v>0</v>
      </c>
      <c r="F927">
        <f>'Shipment Data for Provisioning'!G932</f>
        <v>0</v>
      </c>
      <c r="G927">
        <f>'Shipment Data for Provisioning'!H932</f>
        <v>0</v>
      </c>
      <c r="H927">
        <f>'Shipment Data for Provisioning'!I932</f>
        <v>0</v>
      </c>
      <c r="I927" t="e">
        <f>VLOOKUP(B927,'Location Data'!$C$5:$G$1004,4,FALSE)</f>
        <v>#N/A</v>
      </c>
      <c r="J927" t="e">
        <f>VLOOKUP(B927,'Location Data'!$C$5:$G$1004,5,FALSE)</f>
        <v>#N/A</v>
      </c>
      <c r="K927" t="e">
        <f>VLOOKUP(C927,'Location Data'!$C$5:$G$1004,4,FALSE)</f>
        <v>#N/A</v>
      </c>
      <c r="L927" t="e">
        <f>VLOOKUP(C927,'Location Data'!$C$5:$G$1004,5,FALSE)</f>
        <v>#N/A</v>
      </c>
    </row>
    <row r="928" spans="1:12" x14ac:dyDescent="0.2">
      <c r="A928">
        <f>'Shipment Data for Provisioning'!B933</f>
        <v>0</v>
      </c>
      <c r="B928">
        <f>'Shipment Data for Provisioning'!C933</f>
        <v>0</v>
      </c>
      <c r="C928">
        <f>'Shipment Data for Provisioning'!D933</f>
        <v>0</v>
      </c>
      <c r="D928">
        <f>'Shipment Data for Provisioning'!E933</f>
        <v>0</v>
      </c>
      <c r="E928">
        <f>'Shipment Data for Provisioning'!F933</f>
        <v>0</v>
      </c>
      <c r="F928">
        <f>'Shipment Data for Provisioning'!G933</f>
        <v>0</v>
      </c>
      <c r="G928">
        <f>'Shipment Data for Provisioning'!H933</f>
        <v>0</v>
      </c>
      <c r="H928">
        <f>'Shipment Data for Provisioning'!I933</f>
        <v>0</v>
      </c>
      <c r="I928" t="e">
        <f>VLOOKUP(B928,'Location Data'!$C$5:$G$1004,4,FALSE)</f>
        <v>#N/A</v>
      </c>
      <c r="J928" t="e">
        <f>VLOOKUP(B928,'Location Data'!$C$5:$G$1004,5,FALSE)</f>
        <v>#N/A</v>
      </c>
      <c r="K928" t="e">
        <f>VLOOKUP(C928,'Location Data'!$C$5:$G$1004,4,FALSE)</f>
        <v>#N/A</v>
      </c>
      <c r="L928" t="e">
        <f>VLOOKUP(C928,'Location Data'!$C$5:$G$1004,5,FALSE)</f>
        <v>#N/A</v>
      </c>
    </row>
    <row r="929" spans="1:12" x14ac:dyDescent="0.2">
      <c r="A929">
        <f>'Shipment Data for Provisioning'!B934</f>
        <v>0</v>
      </c>
      <c r="B929">
        <f>'Shipment Data for Provisioning'!C934</f>
        <v>0</v>
      </c>
      <c r="C929">
        <f>'Shipment Data for Provisioning'!D934</f>
        <v>0</v>
      </c>
      <c r="D929">
        <f>'Shipment Data for Provisioning'!E934</f>
        <v>0</v>
      </c>
      <c r="E929">
        <f>'Shipment Data for Provisioning'!F934</f>
        <v>0</v>
      </c>
      <c r="F929">
        <f>'Shipment Data for Provisioning'!G934</f>
        <v>0</v>
      </c>
      <c r="G929">
        <f>'Shipment Data for Provisioning'!H934</f>
        <v>0</v>
      </c>
      <c r="H929">
        <f>'Shipment Data for Provisioning'!I934</f>
        <v>0</v>
      </c>
      <c r="I929" t="e">
        <f>VLOOKUP(B929,'Location Data'!$C$5:$G$1004,4,FALSE)</f>
        <v>#N/A</v>
      </c>
      <c r="J929" t="e">
        <f>VLOOKUP(B929,'Location Data'!$C$5:$G$1004,5,FALSE)</f>
        <v>#N/A</v>
      </c>
      <c r="K929" t="e">
        <f>VLOOKUP(C929,'Location Data'!$C$5:$G$1004,4,FALSE)</f>
        <v>#N/A</v>
      </c>
      <c r="L929" t="e">
        <f>VLOOKUP(C929,'Location Data'!$C$5:$G$1004,5,FALSE)</f>
        <v>#N/A</v>
      </c>
    </row>
    <row r="930" spans="1:12" x14ac:dyDescent="0.2">
      <c r="A930">
        <f>'Shipment Data for Provisioning'!B935</f>
        <v>0</v>
      </c>
      <c r="B930">
        <f>'Shipment Data for Provisioning'!C935</f>
        <v>0</v>
      </c>
      <c r="C930">
        <f>'Shipment Data for Provisioning'!D935</f>
        <v>0</v>
      </c>
      <c r="D930">
        <f>'Shipment Data for Provisioning'!E935</f>
        <v>0</v>
      </c>
      <c r="E930">
        <f>'Shipment Data for Provisioning'!F935</f>
        <v>0</v>
      </c>
      <c r="F930">
        <f>'Shipment Data for Provisioning'!G935</f>
        <v>0</v>
      </c>
      <c r="G930">
        <f>'Shipment Data for Provisioning'!H935</f>
        <v>0</v>
      </c>
      <c r="H930">
        <f>'Shipment Data for Provisioning'!I935</f>
        <v>0</v>
      </c>
      <c r="I930" t="e">
        <f>VLOOKUP(B930,'Location Data'!$C$5:$G$1004,4,FALSE)</f>
        <v>#N/A</v>
      </c>
      <c r="J930" t="e">
        <f>VLOOKUP(B930,'Location Data'!$C$5:$G$1004,5,FALSE)</f>
        <v>#N/A</v>
      </c>
      <c r="K930" t="e">
        <f>VLOOKUP(C930,'Location Data'!$C$5:$G$1004,4,FALSE)</f>
        <v>#N/A</v>
      </c>
      <c r="L930" t="e">
        <f>VLOOKUP(C930,'Location Data'!$C$5:$G$1004,5,FALSE)</f>
        <v>#N/A</v>
      </c>
    </row>
    <row r="931" spans="1:12" x14ac:dyDescent="0.2">
      <c r="A931">
        <f>'Shipment Data for Provisioning'!B936</f>
        <v>0</v>
      </c>
      <c r="B931">
        <f>'Shipment Data for Provisioning'!C936</f>
        <v>0</v>
      </c>
      <c r="C931">
        <f>'Shipment Data for Provisioning'!D936</f>
        <v>0</v>
      </c>
      <c r="D931">
        <f>'Shipment Data for Provisioning'!E936</f>
        <v>0</v>
      </c>
      <c r="E931">
        <f>'Shipment Data for Provisioning'!F936</f>
        <v>0</v>
      </c>
      <c r="F931">
        <f>'Shipment Data for Provisioning'!G936</f>
        <v>0</v>
      </c>
      <c r="G931">
        <f>'Shipment Data for Provisioning'!H936</f>
        <v>0</v>
      </c>
      <c r="H931">
        <f>'Shipment Data for Provisioning'!I936</f>
        <v>0</v>
      </c>
      <c r="I931" t="e">
        <f>VLOOKUP(B931,'Location Data'!$C$5:$G$1004,4,FALSE)</f>
        <v>#N/A</v>
      </c>
      <c r="J931" t="e">
        <f>VLOOKUP(B931,'Location Data'!$C$5:$G$1004,5,FALSE)</f>
        <v>#N/A</v>
      </c>
      <c r="K931" t="e">
        <f>VLOOKUP(C931,'Location Data'!$C$5:$G$1004,4,FALSE)</f>
        <v>#N/A</v>
      </c>
      <c r="L931" t="e">
        <f>VLOOKUP(C931,'Location Data'!$C$5:$G$1004,5,FALSE)</f>
        <v>#N/A</v>
      </c>
    </row>
    <row r="932" spans="1:12" x14ac:dyDescent="0.2">
      <c r="A932">
        <f>'Shipment Data for Provisioning'!B937</f>
        <v>0</v>
      </c>
      <c r="B932">
        <f>'Shipment Data for Provisioning'!C937</f>
        <v>0</v>
      </c>
      <c r="C932">
        <f>'Shipment Data for Provisioning'!D937</f>
        <v>0</v>
      </c>
      <c r="D932">
        <f>'Shipment Data for Provisioning'!E937</f>
        <v>0</v>
      </c>
      <c r="E932">
        <f>'Shipment Data for Provisioning'!F937</f>
        <v>0</v>
      </c>
      <c r="F932">
        <f>'Shipment Data for Provisioning'!G937</f>
        <v>0</v>
      </c>
      <c r="G932">
        <f>'Shipment Data for Provisioning'!H937</f>
        <v>0</v>
      </c>
      <c r="H932">
        <f>'Shipment Data for Provisioning'!I937</f>
        <v>0</v>
      </c>
      <c r="I932" t="e">
        <f>VLOOKUP(B932,'Location Data'!$C$5:$G$1004,4,FALSE)</f>
        <v>#N/A</v>
      </c>
      <c r="J932" t="e">
        <f>VLOOKUP(B932,'Location Data'!$C$5:$G$1004,5,FALSE)</f>
        <v>#N/A</v>
      </c>
      <c r="K932" t="e">
        <f>VLOOKUP(C932,'Location Data'!$C$5:$G$1004,4,FALSE)</f>
        <v>#N/A</v>
      </c>
      <c r="L932" t="e">
        <f>VLOOKUP(C932,'Location Data'!$C$5:$G$1004,5,FALSE)</f>
        <v>#N/A</v>
      </c>
    </row>
    <row r="933" spans="1:12" x14ac:dyDescent="0.2">
      <c r="A933">
        <f>'Shipment Data for Provisioning'!B938</f>
        <v>0</v>
      </c>
      <c r="B933">
        <f>'Shipment Data for Provisioning'!C938</f>
        <v>0</v>
      </c>
      <c r="C933">
        <f>'Shipment Data for Provisioning'!D938</f>
        <v>0</v>
      </c>
      <c r="D933">
        <f>'Shipment Data for Provisioning'!E938</f>
        <v>0</v>
      </c>
      <c r="E933">
        <f>'Shipment Data for Provisioning'!F938</f>
        <v>0</v>
      </c>
      <c r="F933">
        <f>'Shipment Data for Provisioning'!G938</f>
        <v>0</v>
      </c>
      <c r="G933">
        <f>'Shipment Data for Provisioning'!H938</f>
        <v>0</v>
      </c>
      <c r="H933">
        <f>'Shipment Data for Provisioning'!I938</f>
        <v>0</v>
      </c>
      <c r="I933" t="e">
        <f>VLOOKUP(B933,'Location Data'!$C$5:$G$1004,4,FALSE)</f>
        <v>#N/A</v>
      </c>
      <c r="J933" t="e">
        <f>VLOOKUP(B933,'Location Data'!$C$5:$G$1004,5,FALSE)</f>
        <v>#N/A</v>
      </c>
      <c r="K933" t="e">
        <f>VLOOKUP(C933,'Location Data'!$C$5:$G$1004,4,FALSE)</f>
        <v>#N/A</v>
      </c>
      <c r="L933" t="e">
        <f>VLOOKUP(C933,'Location Data'!$C$5:$G$1004,5,FALSE)</f>
        <v>#N/A</v>
      </c>
    </row>
    <row r="934" spans="1:12" x14ac:dyDescent="0.2">
      <c r="A934">
        <f>'Shipment Data for Provisioning'!B939</f>
        <v>0</v>
      </c>
      <c r="B934">
        <f>'Shipment Data for Provisioning'!C939</f>
        <v>0</v>
      </c>
      <c r="C934">
        <f>'Shipment Data for Provisioning'!D939</f>
        <v>0</v>
      </c>
      <c r="D934">
        <f>'Shipment Data for Provisioning'!E939</f>
        <v>0</v>
      </c>
      <c r="E934">
        <f>'Shipment Data for Provisioning'!F939</f>
        <v>0</v>
      </c>
      <c r="F934">
        <f>'Shipment Data for Provisioning'!G939</f>
        <v>0</v>
      </c>
      <c r="G934">
        <f>'Shipment Data for Provisioning'!H939</f>
        <v>0</v>
      </c>
      <c r="H934">
        <f>'Shipment Data for Provisioning'!I939</f>
        <v>0</v>
      </c>
      <c r="I934" t="e">
        <f>VLOOKUP(B934,'Location Data'!$C$5:$G$1004,4,FALSE)</f>
        <v>#N/A</v>
      </c>
      <c r="J934" t="e">
        <f>VLOOKUP(B934,'Location Data'!$C$5:$G$1004,5,FALSE)</f>
        <v>#N/A</v>
      </c>
      <c r="K934" t="e">
        <f>VLOOKUP(C934,'Location Data'!$C$5:$G$1004,4,FALSE)</f>
        <v>#N/A</v>
      </c>
      <c r="L934" t="e">
        <f>VLOOKUP(C934,'Location Data'!$C$5:$G$1004,5,FALSE)</f>
        <v>#N/A</v>
      </c>
    </row>
    <row r="935" spans="1:12" x14ac:dyDescent="0.2">
      <c r="A935">
        <f>'Shipment Data for Provisioning'!B940</f>
        <v>0</v>
      </c>
      <c r="B935">
        <f>'Shipment Data for Provisioning'!C940</f>
        <v>0</v>
      </c>
      <c r="C935">
        <f>'Shipment Data for Provisioning'!D940</f>
        <v>0</v>
      </c>
      <c r="D935">
        <f>'Shipment Data for Provisioning'!E940</f>
        <v>0</v>
      </c>
      <c r="E935">
        <f>'Shipment Data for Provisioning'!F940</f>
        <v>0</v>
      </c>
      <c r="F935">
        <f>'Shipment Data for Provisioning'!G940</f>
        <v>0</v>
      </c>
      <c r="G935">
        <f>'Shipment Data for Provisioning'!H940</f>
        <v>0</v>
      </c>
      <c r="H935">
        <f>'Shipment Data for Provisioning'!I940</f>
        <v>0</v>
      </c>
      <c r="I935" t="e">
        <f>VLOOKUP(B935,'Location Data'!$C$5:$G$1004,4,FALSE)</f>
        <v>#N/A</v>
      </c>
      <c r="J935" t="e">
        <f>VLOOKUP(B935,'Location Data'!$C$5:$G$1004,5,FALSE)</f>
        <v>#N/A</v>
      </c>
      <c r="K935" t="e">
        <f>VLOOKUP(C935,'Location Data'!$C$5:$G$1004,4,FALSE)</f>
        <v>#N/A</v>
      </c>
      <c r="L935" t="e">
        <f>VLOOKUP(C935,'Location Data'!$C$5:$G$1004,5,FALSE)</f>
        <v>#N/A</v>
      </c>
    </row>
    <row r="936" spans="1:12" x14ac:dyDescent="0.2">
      <c r="A936">
        <f>'Shipment Data for Provisioning'!B941</f>
        <v>0</v>
      </c>
      <c r="B936">
        <f>'Shipment Data for Provisioning'!C941</f>
        <v>0</v>
      </c>
      <c r="C936">
        <f>'Shipment Data for Provisioning'!D941</f>
        <v>0</v>
      </c>
      <c r="D936">
        <f>'Shipment Data for Provisioning'!E941</f>
        <v>0</v>
      </c>
      <c r="E936">
        <f>'Shipment Data for Provisioning'!F941</f>
        <v>0</v>
      </c>
      <c r="F936">
        <f>'Shipment Data for Provisioning'!G941</f>
        <v>0</v>
      </c>
      <c r="G936">
        <f>'Shipment Data for Provisioning'!H941</f>
        <v>0</v>
      </c>
      <c r="H936">
        <f>'Shipment Data for Provisioning'!I941</f>
        <v>0</v>
      </c>
      <c r="I936" t="e">
        <f>VLOOKUP(B936,'Location Data'!$C$5:$G$1004,4,FALSE)</f>
        <v>#N/A</v>
      </c>
      <c r="J936" t="e">
        <f>VLOOKUP(B936,'Location Data'!$C$5:$G$1004,5,FALSE)</f>
        <v>#N/A</v>
      </c>
      <c r="K936" t="e">
        <f>VLOOKUP(C936,'Location Data'!$C$5:$G$1004,4,FALSE)</f>
        <v>#N/A</v>
      </c>
      <c r="L936" t="e">
        <f>VLOOKUP(C936,'Location Data'!$C$5:$G$1004,5,FALSE)</f>
        <v>#N/A</v>
      </c>
    </row>
    <row r="937" spans="1:12" x14ac:dyDescent="0.2">
      <c r="A937">
        <f>'Shipment Data for Provisioning'!B942</f>
        <v>0</v>
      </c>
      <c r="B937">
        <f>'Shipment Data for Provisioning'!C942</f>
        <v>0</v>
      </c>
      <c r="C937">
        <f>'Shipment Data for Provisioning'!D942</f>
        <v>0</v>
      </c>
      <c r="D937">
        <f>'Shipment Data for Provisioning'!E942</f>
        <v>0</v>
      </c>
      <c r="E937">
        <f>'Shipment Data for Provisioning'!F942</f>
        <v>0</v>
      </c>
      <c r="F937">
        <f>'Shipment Data for Provisioning'!G942</f>
        <v>0</v>
      </c>
      <c r="G937">
        <f>'Shipment Data for Provisioning'!H942</f>
        <v>0</v>
      </c>
      <c r="H937">
        <f>'Shipment Data for Provisioning'!I942</f>
        <v>0</v>
      </c>
      <c r="I937" t="e">
        <f>VLOOKUP(B937,'Location Data'!$C$5:$G$1004,4,FALSE)</f>
        <v>#N/A</v>
      </c>
      <c r="J937" t="e">
        <f>VLOOKUP(B937,'Location Data'!$C$5:$G$1004,5,FALSE)</f>
        <v>#N/A</v>
      </c>
      <c r="K937" t="e">
        <f>VLOOKUP(C937,'Location Data'!$C$5:$G$1004,4,FALSE)</f>
        <v>#N/A</v>
      </c>
      <c r="L937" t="e">
        <f>VLOOKUP(C937,'Location Data'!$C$5:$G$1004,5,FALSE)</f>
        <v>#N/A</v>
      </c>
    </row>
    <row r="938" spans="1:12" x14ac:dyDescent="0.2">
      <c r="A938">
        <f>'Shipment Data for Provisioning'!B943</f>
        <v>0</v>
      </c>
      <c r="B938">
        <f>'Shipment Data for Provisioning'!C943</f>
        <v>0</v>
      </c>
      <c r="C938">
        <f>'Shipment Data for Provisioning'!D943</f>
        <v>0</v>
      </c>
      <c r="D938">
        <f>'Shipment Data for Provisioning'!E943</f>
        <v>0</v>
      </c>
      <c r="E938">
        <f>'Shipment Data for Provisioning'!F943</f>
        <v>0</v>
      </c>
      <c r="F938">
        <f>'Shipment Data for Provisioning'!G943</f>
        <v>0</v>
      </c>
      <c r="G938">
        <f>'Shipment Data for Provisioning'!H943</f>
        <v>0</v>
      </c>
      <c r="H938">
        <f>'Shipment Data for Provisioning'!I943</f>
        <v>0</v>
      </c>
      <c r="I938" t="e">
        <f>VLOOKUP(B938,'Location Data'!$C$5:$G$1004,4,FALSE)</f>
        <v>#N/A</v>
      </c>
      <c r="J938" t="e">
        <f>VLOOKUP(B938,'Location Data'!$C$5:$G$1004,5,FALSE)</f>
        <v>#N/A</v>
      </c>
      <c r="K938" t="e">
        <f>VLOOKUP(C938,'Location Data'!$C$5:$G$1004,4,FALSE)</f>
        <v>#N/A</v>
      </c>
      <c r="L938" t="e">
        <f>VLOOKUP(C938,'Location Data'!$C$5:$G$1004,5,FALSE)</f>
        <v>#N/A</v>
      </c>
    </row>
    <row r="939" spans="1:12" x14ac:dyDescent="0.2">
      <c r="A939">
        <f>'Shipment Data for Provisioning'!B944</f>
        <v>0</v>
      </c>
      <c r="B939">
        <f>'Shipment Data for Provisioning'!C944</f>
        <v>0</v>
      </c>
      <c r="C939">
        <f>'Shipment Data for Provisioning'!D944</f>
        <v>0</v>
      </c>
      <c r="D939">
        <f>'Shipment Data for Provisioning'!E944</f>
        <v>0</v>
      </c>
      <c r="E939">
        <f>'Shipment Data for Provisioning'!F944</f>
        <v>0</v>
      </c>
      <c r="F939">
        <f>'Shipment Data for Provisioning'!G944</f>
        <v>0</v>
      </c>
      <c r="G939">
        <f>'Shipment Data for Provisioning'!H944</f>
        <v>0</v>
      </c>
      <c r="H939">
        <f>'Shipment Data for Provisioning'!I944</f>
        <v>0</v>
      </c>
      <c r="I939" t="e">
        <f>VLOOKUP(B939,'Location Data'!$C$5:$G$1004,4,FALSE)</f>
        <v>#N/A</v>
      </c>
      <c r="J939" t="e">
        <f>VLOOKUP(B939,'Location Data'!$C$5:$G$1004,5,FALSE)</f>
        <v>#N/A</v>
      </c>
      <c r="K939" t="e">
        <f>VLOOKUP(C939,'Location Data'!$C$5:$G$1004,4,FALSE)</f>
        <v>#N/A</v>
      </c>
      <c r="L939" t="e">
        <f>VLOOKUP(C939,'Location Data'!$C$5:$G$1004,5,FALSE)</f>
        <v>#N/A</v>
      </c>
    </row>
    <row r="940" spans="1:12" x14ac:dyDescent="0.2">
      <c r="A940">
        <f>'Shipment Data for Provisioning'!B945</f>
        <v>0</v>
      </c>
      <c r="B940">
        <f>'Shipment Data for Provisioning'!C945</f>
        <v>0</v>
      </c>
      <c r="C940">
        <f>'Shipment Data for Provisioning'!D945</f>
        <v>0</v>
      </c>
      <c r="D940">
        <f>'Shipment Data for Provisioning'!E945</f>
        <v>0</v>
      </c>
      <c r="E940">
        <f>'Shipment Data for Provisioning'!F945</f>
        <v>0</v>
      </c>
      <c r="F940">
        <f>'Shipment Data for Provisioning'!G945</f>
        <v>0</v>
      </c>
      <c r="G940">
        <f>'Shipment Data for Provisioning'!H945</f>
        <v>0</v>
      </c>
      <c r="H940">
        <f>'Shipment Data for Provisioning'!I945</f>
        <v>0</v>
      </c>
      <c r="I940" t="e">
        <f>VLOOKUP(B940,'Location Data'!$C$5:$G$1004,4,FALSE)</f>
        <v>#N/A</v>
      </c>
      <c r="J940" t="e">
        <f>VLOOKUP(B940,'Location Data'!$C$5:$G$1004,5,FALSE)</f>
        <v>#N/A</v>
      </c>
      <c r="K940" t="e">
        <f>VLOOKUP(C940,'Location Data'!$C$5:$G$1004,4,FALSE)</f>
        <v>#N/A</v>
      </c>
      <c r="L940" t="e">
        <f>VLOOKUP(C940,'Location Data'!$C$5:$G$1004,5,FALSE)</f>
        <v>#N/A</v>
      </c>
    </row>
    <row r="941" spans="1:12" x14ac:dyDescent="0.2">
      <c r="A941">
        <f>'Shipment Data for Provisioning'!B946</f>
        <v>0</v>
      </c>
      <c r="B941">
        <f>'Shipment Data for Provisioning'!C946</f>
        <v>0</v>
      </c>
      <c r="C941">
        <f>'Shipment Data for Provisioning'!D946</f>
        <v>0</v>
      </c>
      <c r="D941">
        <f>'Shipment Data for Provisioning'!E946</f>
        <v>0</v>
      </c>
      <c r="E941">
        <f>'Shipment Data for Provisioning'!F946</f>
        <v>0</v>
      </c>
      <c r="F941">
        <f>'Shipment Data for Provisioning'!G946</f>
        <v>0</v>
      </c>
      <c r="G941">
        <f>'Shipment Data for Provisioning'!H946</f>
        <v>0</v>
      </c>
      <c r="H941">
        <f>'Shipment Data for Provisioning'!I946</f>
        <v>0</v>
      </c>
      <c r="I941" t="e">
        <f>VLOOKUP(B941,'Location Data'!$C$5:$G$1004,4,FALSE)</f>
        <v>#N/A</v>
      </c>
      <c r="J941" t="e">
        <f>VLOOKUP(B941,'Location Data'!$C$5:$G$1004,5,FALSE)</f>
        <v>#N/A</v>
      </c>
      <c r="K941" t="e">
        <f>VLOOKUP(C941,'Location Data'!$C$5:$G$1004,4,FALSE)</f>
        <v>#N/A</v>
      </c>
      <c r="L941" t="e">
        <f>VLOOKUP(C941,'Location Data'!$C$5:$G$1004,5,FALSE)</f>
        <v>#N/A</v>
      </c>
    </row>
    <row r="942" spans="1:12" x14ac:dyDescent="0.2">
      <c r="A942">
        <f>'Shipment Data for Provisioning'!B947</f>
        <v>0</v>
      </c>
      <c r="B942">
        <f>'Shipment Data for Provisioning'!C947</f>
        <v>0</v>
      </c>
      <c r="C942">
        <f>'Shipment Data for Provisioning'!D947</f>
        <v>0</v>
      </c>
      <c r="D942">
        <f>'Shipment Data for Provisioning'!E947</f>
        <v>0</v>
      </c>
      <c r="E942">
        <f>'Shipment Data for Provisioning'!F947</f>
        <v>0</v>
      </c>
      <c r="F942">
        <f>'Shipment Data for Provisioning'!G947</f>
        <v>0</v>
      </c>
      <c r="G942">
        <f>'Shipment Data for Provisioning'!H947</f>
        <v>0</v>
      </c>
      <c r="H942">
        <f>'Shipment Data for Provisioning'!I947</f>
        <v>0</v>
      </c>
      <c r="I942" t="e">
        <f>VLOOKUP(B942,'Location Data'!$C$5:$G$1004,4,FALSE)</f>
        <v>#N/A</v>
      </c>
      <c r="J942" t="e">
        <f>VLOOKUP(B942,'Location Data'!$C$5:$G$1004,5,FALSE)</f>
        <v>#N/A</v>
      </c>
      <c r="K942" t="e">
        <f>VLOOKUP(C942,'Location Data'!$C$5:$G$1004,4,FALSE)</f>
        <v>#N/A</v>
      </c>
      <c r="L942" t="e">
        <f>VLOOKUP(C942,'Location Data'!$C$5:$G$1004,5,FALSE)</f>
        <v>#N/A</v>
      </c>
    </row>
    <row r="943" spans="1:12" x14ac:dyDescent="0.2">
      <c r="A943">
        <f>'Shipment Data for Provisioning'!B948</f>
        <v>0</v>
      </c>
      <c r="B943">
        <f>'Shipment Data for Provisioning'!C948</f>
        <v>0</v>
      </c>
      <c r="C943">
        <f>'Shipment Data for Provisioning'!D948</f>
        <v>0</v>
      </c>
      <c r="D943">
        <f>'Shipment Data for Provisioning'!E948</f>
        <v>0</v>
      </c>
      <c r="E943">
        <f>'Shipment Data for Provisioning'!F948</f>
        <v>0</v>
      </c>
      <c r="F943">
        <f>'Shipment Data for Provisioning'!G948</f>
        <v>0</v>
      </c>
      <c r="G943">
        <f>'Shipment Data for Provisioning'!H948</f>
        <v>0</v>
      </c>
      <c r="H943">
        <f>'Shipment Data for Provisioning'!I948</f>
        <v>0</v>
      </c>
      <c r="I943" t="e">
        <f>VLOOKUP(B943,'Location Data'!$C$5:$G$1004,4,FALSE)</f>
        <v>#N/A</v>
      </c>
      <c r="J943" t="e">
        <f>VLOOKUP(B943,'Location Data'!$C$5:$G$1004,5,FALSE)</f>
        <v>#N/A</v>
      </c>
      <c r="K943" t="e">
        <f>VLOOKUP(C943,'Location Data'!$C$5:$G$1004,4,FALSE)</f>
        <v>#N/A</v>
      </c>
      <c r="L943" t="e">
        <f>VLOOKUP(C943,'Location Data'!$C$5:$G$1004,5,FALSE)</f>
        <v>#N/A</v>
      </c>
    </row>
    <row r="944" spans="1:12" x14ac:dyDescent="0.2">
      <c r="A944">
        <f>'Shipment Data for Provisioning'!B949</f>
        <v>0</v>
      </c>
      <c r="B944">
        <f>'Shipment Data for Provisioning'!C949</f>
        <v>0</v>
      </c>
      <c r="C944">
        <f>'Shipment Data for Provisioning'!D949</f>
        <v>0</v>
      </c>
      <c r="D944">
        <f>'Shipment Data for Provisioning'!E949</f>
        <v>0</v>
      </c>
      <c r="E944">
        <f>'Shipment Data for Provisioning'!F949</f>
        <v>0</v>
      </c>
      <c r="F944">
        <f>'Shipment Data for Provisioning'!G949</f>
        <v>0</v>
      </c>
      <c r="G944">
        <f>'Shipment Data for Provisioning'!H949</f>
        <v>0</v>
      </c>
      <c r="H944">
        <f>'Shipment Data for Provisioning'!I949</f>
        <v>0</v>
      </c>
      <c r="I944" t="e">
        <f>VLOOKUP(B944,'Location Data'!$C$5:$G$1004,4,FALSE)</f>
        <v>#N/A</v>
      </c>
      <c r="J944" t="e">
        <f>VLOOKUP(B944,'Location Data'!$C$5:$G$1004,5,FALSE)</f>
        <v>#N/A</v>
      </c>
      <c r="K944" t="e">
        <f>VLOOKUP(C944,'Location Data'!$C$5:$G$1004,4,FALSE)</f>
        <v>#N/A</v>
      </c>
      <c r="L944" t="e">
        <f>VLOOKUP(C944,'Location Data'!$C$5:$G$1004,5,FALSE)</f>
        <v>#N/A</v>
      </c>
    </row>
    <row r="945" spans="1:12" x14ac:dyDescent="0.2">
      <c r="A945">
        <f>'Shipment Data for Provisioning'!B950</f>
        <v>0</v>
      </c>
      <c r="B945">
        <f>'Shipment Data for Provisioning'!C950</f>
        <v>0</v>
      </c>
      <c r="C945">
        <f>'Shipment Data for Provisioning'!D950</f>
        <v>0</v>
      </c>
      <c r="D945">
        <f>'Shipment Data for Provisioning'!E950</f>
        <v>0</v>
      </c>
      <c r="E945">
        <f>'Shipment Data for Provisioning'!F950</f>
        <v>0</v>
      </c>
      <c r="F945">
        <f>'Shipment Data for Provisioning'!G950</f>
        <v>0</v>
      </c>
      <c r="G945">
        <f>'Shipment Data for Provisioning'!H950</f>
        <v>0</v>
      </c>
      <c r="H945">
        <f>'Shipment Data for Provisioning'!I950</f>
        <v>0</v>
      </c>
      <c r="I945" t="e">
        <f>VLOOKUP(B945,'Location Data'!$C$5:$G$1004,4,FALSE)</f>
        <v>#N/A</v>
      </c>
      <c r="J945" t="e">
        <f>VLOOKUP(B945,'Location Data'!$C$5:$G$1004,5,FALSE)</f>
        <v>#N/A</v>
      </c>
      <c r="K945" t="e">
        <f>VLOOKUP(C945,'Location Data'!$C$5:$G$1004,4,FALSE)</f>
        <v>#N/A</v>
      </c>
      <c r="L945" t="e">
        <f>VLOOKUP(C945,'Location Data'!$C$5:$G$1004,5,FALSE)</f>
        <v>#N/A</v>
      </c>
    </row>
    <row r="946" spans="1:12" x14ac:dyDescent="0.2">
      <c r="A946">
        <f>'Shipment Data for Provisioning'!B951</f>
        <v>0</v>
      </c>
      <c r="B946">
        <f>'Shipment Data for Provisioning'!C951</f>
        <v>0</v>
      </c>
      <c r="C946">
        <f>'Shipment Data for Provisioning'!D951</f>
        <v>0</v>
      </c>
      <c r="D946">
        <f>'Shipment Data for Provisioning'!E951</f>
        <v>0</v>
      </c>
      <c r="E946">
        <f>'Shipment Data for Provisioning'!F951</f>
        <v>0</v>
      </c>
      <c r="F946">
        <f>'Shipment Data for Provisioning'!G951</f>
        <v>0</v>
      </c>
      <c r="G946">
        <f>'Shipment Data for Provisioning'!H951</f>
        <v>0</v>
      </c>
      <c r="H946">
        <f>'Shipment Data for Provisioning'!I951</f>
        <v>0</v>
      </c>
      <c r="I946" t="e">
        <f>VLOOKUP(B946,'Location Data'!$C$5:$G$1004,4,FALSE)</f>
        <v>#N/A</v>
      </c>
      <c r="J946" t="e">
        <f>VLOOKUP(B946,'Location Data'!$C$5:$G$1004,5,FALSE)</f>
        <v>#N/A</v>
      </c>
      <c r="K946" t="e">
        <f>VLOOKUP(C946,'Location Data'!$C$5:$G$1004,4,FALSE)</f>
        <v>#N/A</v>
      </c>
      <c r="L946" t="e">
        <f>VLOOKUP(C946,'Location Data'!$C$5:$G$1004,5,FALSE)</f>
        <v>#N/A</v>
      </c>
    </row>
    <row r="947" spans="1:12" x14ac:dyDescent="0.2">
      <c r="A947">
        <f>'Shipment Data for Provisioning'!B952</f>
        <v>0</v>
      </c>
      <c r="B947">
        <f>'Shipment Data for Provisioning'!C952</f>
        <v>0</v>
      </c>
      <c r="C947">
        <f>'Shipment Data for Provisioning'!D952</f>
        <v>0</v>
      </c>
      <c r="D947">
        <f>'Shipment Data for Provisioning'!E952</f>
        <v>0</v>
      </c>
      <c r="E947">
        <f>'Shipment Data for Provisioning'!F952</f>
        <v>0</v>
      </c>
      <c r="F947">
        <f>'Shipment Data for Provisioning'!G952</f>
        <v>0</v>
      </c>
      <c r="G947">
        <f>'Shipment Data for Provisioning'!H952</f>
        <v>0</v>
      </c>
      <c r="H947">
        <f>'Shipment Data for Provisioning'!I952</f>
        <v>0</v>
      </c>
      <c r="I947" t="e">
        <f>VLOOKUP(B947,'Location Data'!$C$5:$G$1004,4,FALSE)</f>
        <v>#N/A</v>
      </c>
      <c r="J947" t="e">
        <f>VLOOKUP(B947,'Location Data'!$C$5:$G$1004,5,FALSE)</f>
        <v>#N/A</v>
      </c>
      <c r="K947" t="e">
        <f>VLOOKUP(C947,'Location Data'!$C$5:$G$1004,4,FALSE)</f>
        <v>#N/A</v>
      </c>
      <c r="L947" t="e">
        <f>VLOOKUP(C947,'Location Data'!$C$5:$G$1004,5,FALSE)</f>
        <v>#N/A</v>
      </c>
    </row>
    <row r="948" spans="1:12" x14ac:dyDescent="0.2">
      <c r="A948">
        <f>'Shipment Data for Provisioning'!B953</f>
        <v>0</v>
      </c>
      <c r="B948">
        <f>'Shipment Data for Provisioning'!C953</f>
        <v>0</v>
      </c>
      <c r="C948">
        <f>'Shipment Data for Provisioning'!D953</f>
        <v>0</v>
      </c>
      <c r="D948">
        <f>'Shipment Data for Provisioning'!E953</f>
        <v>0</v>
      </c>
      <c r="E948">
        <f>'Shipment Data for Provisioning'!F953</f>
        <v>0</v>
      </c>
      <c r="F948">
        <f>'Shipment Data for Provisioning'!G953</f>
        <v>0</v>
      </c>
      <c r="G948">
        <f>'Shipment Data for Provisioning'!H953</f>
        <v>0</v>
      </c>
      <c r="H948">
        <f>'Shipment Data for Provisioning'!I953</f>
        <v>0</v>
      </c>
      <c r="I948" t="e">
        <f>VLOOKUP(B948,'Location Data'!$C$5:$G$1004,4,FALSE)</f>
        <v>#N/A</v>
      </c>
      <c r="J948" t="e">
        <f>VLOOKUP(B948,'Location Data'!$C$5:$G$1004,5,FALSE)</f>
        <v>#N/A</v>
      </c>
      <c r="K948" t="e">
        <f>VLOOKUP(C948,'Location Data'!$C$5:$G$1004,4,FALSE)</f>
        <v>#N/A</v>
      </c>
      <c r="L948" t="e">
        <f>VLOOKUP(C948,'Location Data'!$C$5:$G$1004,5,FALSE)</f>
        <v>#N/A</v>
      </c>
    </row>
    <row r="949" spans="1:12" x14ac:dyDescent="0.2">
      <c r="A949">
        <f>'Shipment Data for Provisioning'!B954</f>
        <v>0</v>
      </c>
      <c r="B949">
        <f>'Shipment Data for Provisioning'!C954</f>
        <v>0</v>
      </c>
      <c r="C949">
        <f>'Shipment Data for Provisioning'!D954</f>
        <v>0</v>
      </c>
      <c r="D949">
        <f>'Shipment Data for Provisioning'!E954</f>
        <v>0</v>
      </c>
      <c r="E949">
        <f>'Shipment Data for Provisioning'!F954</f>
        <v>0</v>
      </c>
      <c r="F949">
        <f>'Shipment Data for Provisioning'!G954</f>
        <v>0</v>
      </c>
      <c r="G949">
        <f>'Shipment Data for Provisioning'!H954</f>
        <v>0</v>
      </c>
      <c r="H949">
        <f>'Shipment Data for Provisioning'!I954</f>
        <v>0</v>
      </c>
      <c r="I949" t="e">
        <f>VLOOKUP(B949,'Location Data'!$C$5:$G$1004,4,FALSE)</f>
        <v>#N/A</v>
      </c>
      <c r="J949" t="e">
        <f>VLOOKUP(B949,'Location Data'!$C$5:$G$1004,5,FALSE)</f>
        <v>#N/A</v>
      </c>
      <c r="K949" t="e">
        <f>VLOOKUP(C949,'Location Data'!$C$5:$G$1004,4,FALSE)</f>
        <v>#N/A</v>
      </c>
      <c r="L949" t="e">
        <f>VLOOKUP(C949,'Location Data'!$C$5:$G$1004,5,FALSE)</f>
        <v>#N/A</v>
      </c>
    </row>
    <row r="950" spans="1:12" x14ac:dyDescent="0.2">
      <c r="A950">
        <f>'Shipment Data for Provisioning'!B955</f>
        <v>0</v>
      </c>
      <c r="B950">
        <f>'Shipment Data for Provisioning'!C955</f>
        <v>0</v>
      </c>
      <c r="C950">
        <f>'Shipment Data for Provisioning'!D955</f>
        <v>0</v>
      </c>
      <c r="D950">
        <f>'Shipment Data for Provisioning'!E955</f>
        <v>0</v>
      </c>
      <c r="E950">
        <f>'Shipment Data for Provisioning'!F955</f>
        <v>0</v>
      </c>
      <c r="F950">
        <f>'Shipment Data for Provisioning'!G955</f>
        <v>0</v>
      </c>
      <c r="G950">
        <f>'Shipment Data for Provisioning'!H955</f>
        <v>0</v>
      </c>
      <c r="H950">
        <f>'Shipment Data for Provisioning'!I955</f>
        <v>0</v>
      </c>
      <c r="I950" t="e">
        <f>VLOOKUP(B950,'Location Data'!$C$5:$G$1004,4,FALSE)</f>
        <v>#N/A</v>
      </c>
      <c r="J950" t="e">
        <f>VLOOKUP(B950,'Location Data'!$C$5:$G$1004,5,FALSE)</f>
        <v>#N/A</v>
      </c>
      <c r="K950" t="e">
        <f>VLOOKUP(C950,'Location Data'!$C$5:$G$1004,4,FALSE)</f>
        <v>#N/A</v>
      </c>
      <c r="L950" t="e">
        <f>VLOOKUP(C950,'Location Data'!$C$5:$G$1004,5,FALSE)</f>
        <v>#N/A</v>
      </c>
    </row>
    <row r="951" spans="1:12" x14ac:dyDescent="0.2">
      <c r="A951">
        <f>'Shipment Data for Provisioning'!B956</f>
        <v>0</v>
      </c>
      <c r="B951">
        <f>'Shipment Data for Provisioning'!C956</f>
        <v>0</v>
      </c>
      <c r="C951">
        <f>'Shipment Data for Provisioning'!D956</f>
        <v>0</v>
      </c>
      <c r="D951">
        <f>'Shipment Data for Provisioning'!E956</f>
        <v>0</v>
      </c>
      <c r="E951">
        <f>'Shipment Data for Provisioning'!F956</f>
        <v>0</v>
      </c>
      <c r="F951">
        <f>'Shipment Data for Provisioning'!G956</f>
        <v>0</v>
      </c>
      <c r="G951">
        <f>'Shipment Data for Provisioning'!H956</f>
        <v>0</v>
      </c>
      <c r="H951">
        <f>'Shipment Data for Provisioning'!I956</f>
        <v>0</v>
      </c>
      <c r="I951" t="e">
        <f>VLOOKUP(B951,'Location Data'!$C$5:$G$1004,4,FALSE)</f>
        <v>#N/A</v>
      </c>
      <c r="J951" t="e">
        <f>VLOOKUP(B951,'Location Data'!$C$5:$G$1004,5,FALSE)</f>
        <v>#N/A</v>
      </c>
      <c r="K951" t="e">
        <f>VLOOKUP(C951,'Location Data'!$C$5:$G$1004,4,FALSE)</f>
        <v>#N/A</v>
      </c>
      <c r="L951" t="e">
        <f>VLOOKUP(C951,'Location Data'!$C$5:$G$1004,5,FALSE)</f>
        <v>#N/A</v>
      </c>
    </row>
    <row r="952" spans="1:12" x14ac:dyDescent="0.2">
      <c r="A952">
        <f>'Shipment Data for Provisioning'!B957</f>
        <v>0</v>
      </c>
      <c r="B952">
        <f>'Shipment Data for Provisioning'!C957</f>
        <v>0</v>
      </c>
      <c r="C952">
        <f>'Shipment Data for Provisioning'!D957</f>
        <v>0</v>
      </c>
      <c r="D952">
        <f>'Shipment Data for Provisioning'!E957</f>
        <v>0</v>
      </c>
      <c r="E952">
        <f>'Shipment Data for Provisioning'!F957</f>
        <v>0</v>
      </c>
      <c r="F952">
        <f>'Shipment Data for Provisioning'!G957</f>
        <v>0</v>
      </c>
      <c r="G952">
        <f>'Shipment Data for Provisioning'!H957</f>
        <v>0</v>
      </c>
      <c r="H952">
        <f>'Shipment Data for Provisioning'!I957</f>
        <v>0</v>
      </c>
      <c r="I952" t="e">
        <f>VLOOKUP(B952,'Location Data'!$C$5:$G$1004,4,FALSE)</f>
        <v>#N/A</v>
      </c>
      <c r="J952" t="e">
        <f>VLOOKUP(B952,'Location Data'!$C$5:$G$1004,5,FALSE)</f>
        <v>#N/A</v>
      </c>
      <c r="K952" t="e">
        <f>VLOOKUP(C952,'Location Data'!$C$5:$G$1004,4,FALSE)</f>
        <v>#N/A</v>
      </c>
      <c r="L952" t="e">
        <f>VLOOKUP(C952,'Location Data'!$C$5:$G$1004,5,FALSE)</f>
        <v>#N/A</v>
      </c>
    </row>
    <row r="953" spans="1:12" x14ac:dyDescent="0.2">
      <c r="A953">
        <f>'Shipment Data for Provisioning'!B958</f>
        <v>0</v>
      </c>
      <c r="B953">
        <f>'Shipment Data for Provisioning'!C958</f>
        <v>0</v>
      </c>
      <c r="C953">
        <f>'Shipment Data for Provisioning'!D958</f>
        <v>0</v>
      </c>
      <c r="D953">
        <f>'Shipment Data for Provisioning'!E958</f>
        <v>0</v>
      </c>
      <c r="E953">
        <f>'Shipment Data for Provisioning'!F958</f>
        <v>0</v>
      </c>
      <c r="F953">
        <f>'Shipment Data for Provisioning'!G958</f>
        <v>0</v>
      </c>
      <c r="G953">
        <f>'Shipment Data for Provisioning'!H958</f>
        <v>0</v>
      </c>
      <c r="H953">
        <f>'Shipment Data for Provisioning'!I958</f>
        <v>0</v>
      </c>
      <c r="I953" t="e">
        <f>VLOOKUP(B953,'Location Data'!$C$5:$G$1004,4,FALSE)</f>
        <v>#N/A</v>
      </c>
      <c r="J953" t="e">
        <f>VLOOKUP(B953,'Location Data'!$C$5:$G$1004,5,FALSE)</f>
        <v>#N/A</v>
      </c>
      <c r="K953" t="e">
        <f>VLOOKUP(C953,'Location Data'!$C$5:$G$1004,4,FALSE)</f>
        <v>#N/A</v>
      </c>
      <c r="L953" t="e">
        <f>VLOOKUP(C953,'Location Data'!$C$5:$G$1004,5,FALSE)</f>
        <v>#N/A</v>
      </c>
    </row>
    <row r="954" spans="1:12" x14ac:dyDescent="0.2">
      <c r="A954">
        <f>'Shipment Data for Provisioning'!B959</f>
        <v>0</v>
      </c>
      <c r="B954">
        <f>'Shipment Data for Provisioning'!C959</f>
        <v>0</v>
      </c>
      <c r="C954">
        <f>'Shipment Data for Provisioning'!D959</f>
        <v>0</v>
      </c>
      <c r="D954">
        <f>'Shipment Data for Provisioning'!E959</f>
        <v>0</v>
      </c>
      <c r="E954">
        <f>'Shipment Data for Provisioning'!F959</f>
        <v>0</v>
      </c>
      <c r="F954">
        <f>'Shipment Data for Provisioning'!G959</f>
        <v>0</v>
      </c>
      <c r="G954">
        <f>'Shipment Data for Provisioning'!H959</f>
        <v>0</v>
      </c>
      <c r="H954">
        <f>'Shipment Data for Provisioning'!I959</f>
        <v>0</v>
      </c>
      <c r="I954" t="e">
        <f>VLOOKUP(B954,'Location Data'!$C$5:$G$1004,4,FALSE)</f>
        <v>#N/A</v>
      </c>
      <c r="J954" t="e">
        <f>VLOOKUP(B954,'Location Data'!$C$5:$G$1004,5,FALSE)</f>
        <v>#N/A</v>
      </c>
      <c r="K954" t="e">
        <f>VLOOKUP(C954,'Location Data'!$C$5:$G$1004,4,FALSE)</f>
        <v>#N/A</v>
      </c>
      <c r="L954" t="e">
        <f>VLOOKUP(C954,'Location Data'!$C$5:$G$1004,5,FALSE)</f>
        <v>#N/A</v>
      </c>
    </row>
    <row r="955" spans="1:12" x14ac:dyDescent="0.2">
      <c r="A955">
        <f>'Shipment Data for Provisioning'!B960</f>
        <v>0</v>
      </c>
      <c r="B955">
        <f>'Shipment Data for Provisioning'!C960</f>
        <v>0</v>
      </c>
      <c r="C955">
        <f>'Shipment Data for Provisioning'!D960</f>
        <v>0</v>
      </c>
      <c r="D955">
        <f>'Shipment Data for Provisioning'!E960</f>
        <v>0</v>
      </c>
      <c r="E955">
        <f>'Shipment Data for Provisioning'!F960</f>
        <v>0</v>
      </c>
      <c r="F955">
        <f>'Shipment Data for Provisioning'!G960</f>
        <v>0</v>
      </c>
      <c r="G955">
        <f>'Shipment Data for Provisioning'!H960</f>
        <v>0</v>
      </c>
      <c r="H955">
        <f>'Shipment Data for Provisioning'!I960</f>
        <v>0</v>
      </c>
      <c r="I955" t="e">
        <f>VLOOKUP(B955,'Location Data'!$C$5:$G$1004,4,FALSE)</f>
        <v>#N/A</v>
      </c>
      <c r="J955" t="e">
        <f>VLOOKUP(B955,'Location Data'!$C$5:$G$1004,5,FALSE)</f>
        <v>#N/A</v>
      </c>
      <c r="K955" t="e">
        <f>VLOOKUP(C955,'Location Data'!$C$5:$G$1004,4,FALSE)</f>
        <v>#N/A</v>
      </c>
      <c r="L955" t="e">
        <f>VLOOKUP(C955,'Location Data'!$C$5:$G$1004,5,FALSE)</f>
        <v>#N/A</v>
      </c>
    </row>
    <row r="956" spans="1:12" x14ac:dyDescent="0.2">
      <c r="A956">
        <f>'Shipment Data for Provisioning'!B961</f>
        <v>0</v>
      </c>
      <c r="B956">
        <f>'Shipment Data for Provisioning'!C961</f>
        <v>0</v>
      </c>
      <c r="C956">
        <f>'Shipment Data for Provisioning'!D961</f>
        <v>0</v>
      </c>
      <c r="D956">
        <f>'Shipment Data for Provisioning'!E961</f>
        <v>0</v>
      </c>
      <c r="E956">
        <f>'Shipment Data for Provisioning'!F961</f>
        <v>0</v>
      </c>
      <c r="F956">
        <f>'Shipment Data for Provisioning'!G961</f>
        <v>0</v>
      </c>
      <c r="G956">
        <f>'Shipment Data for Provisioning'!H961</f>
        <v>0</v>
      </c>
      <c r="H956">
        <f>'Shipment Data for Provisioning'!I961</f>
        <v>0</v>
      </c>
      <c r="I956" t="e">
        <f>VLOOKUP(B956,'Location Data'!$C$5:$G$1004,4,FALSE)</f>
        <v>#N/A</v>
      </c>
      <c r="J956" t="e">
        <f>VLOOKUP(B956,'Location Data'!$C$5:$G$1004,5,FALSE)</f>
        <v>#N/A</v>
      </c>
      <c r="K956" t="e">
        <f>VLOOKUP(C956,'Location Data'!$C$5:$G$1004,4,FALSE)</f>
        <v>#N/A</v>
      </c>
      <c r="L956" t="e">
        <f>VLOOKUP(C956,'Location Data'!$C$5:$G$1004,5,FALSE)</f>
        <v>#N/A</v>
      </c>
    </row>
    <row r="957" spans="1:12" x14ac:dyDescent="0.2">
      <c r="A957">
        <f>'Shipment Data for Provisioning'!B962</f>
        <v>0</v>
      </c>
      <c r="B957">
        <f>'Shipment Data for Provisioning'!C962</f>
        <v>0</v>
      </c>
      <c r="C957">
        <f>'Shipment Data for Provisioning'!D962</f>
        <v>0</v>
      </c>
      <c r="D957">
        <f>'Shipment Data for Provisioning'!E962</f>
        <v>0</v>
      </c>
      <c r="E957">
        <f>'Shipment Data for Provisioning'!F962</f>
        <v>0</v>
      </c>
      <c r="F957">
        <f>'Shipment Data for Provisioning'!G962</f>
        <v>0</v>
      </c>
      <c r="G957">
        <f>'Shipment Data for Provisioning'!H962</f>
        <v>0</v>
      </c>
      <c r="H957">
        <f>'Shipment Data for Provisioning'!I962</f>
        <v>0</v>
      </c>
      <c r="I957" t="e">
        <f>VLOOKUP(B957,'Location Data'!$C$5:$G$1004,4,FALSE)</f>
        <v>#N/A</v>
      </c>
      <c r="J957" t="e">
        <f>VLOOKUP(B957,'Location Data'!$C$5:$G$1004,5,FALSE)</f>
        <v>#N/A</v>
      </c>
      <c r="K957" t="e">
        <f>VLOOKUP(C957,'Location Data'!$C$5:$G$1004,4,FALSE)</f>
        <v>#N/A</v>
      </c>
      <c r="L957" t="e">
        <f>VLOOKUP(C957,'Location Data'!$C$5:$G$1004,5,FALSE)</f>
        <v>#N/A</v>
      </c>
    </row>
    <row r="958" spans="1:12" x14ac:dyDescent="0.2">
      <c r="A958">
        <f>'Shipment Data for Provisioning'!B963</f>
        <v>0</v>
      </c>
      <c r="B958">
        <f>'Shipment Data for Provisioning'!C963</f>
        <v>0</v>
      </c>
      <c r="C958">
        <f>'Shipment Data for Provisioning'!D963</f>
        <v>0</v>
      </c>
      <c r="D958">
        <f>'Shipment Data for Provisioning'!E963</f>
        <v>0</v>
      </c>
      <c r="E958">
        <f>'Shipment Data for Provisioning'!F963</f>
        <v>0</v>
      </c>
      <c r="F958">
        <f>'Shipment Data for Provisioning'!G963</f>
        <v>0</v>
      </c>
      <c r="G958">
        <f>'Shipment Data for Provisioning'!H963</f>
        <v>0</v>
      </c>
      <c r="H958">
        <f>'Shipment Data for Provisioning'!I963</f>
        <v>0</v>
      </c>
      <c r="I958" t="e">
        <f>VLOOKUP(B958,'Location Data'!$C$5:$G$1004,4,FALSE)</f>
        <v>#N/A</v>
      </c>
      <c r="J958" t="e">
        <f>VLOOKUP(B958,'Location Data'!$C$5:$G$1004,5,FALSE)</f>
        <v>#N/A</v>
      </c>
      <c r="K958" t="e">
        <f>VLOOKUP(C958,'Location Data'!$C$5:$G$1004,4,FALSE)</f>
        <v>#N/A</v>
      </c>
      <c r="L958" t="e">
        <f>VLOOKUP(C958,'Location Data'!$C$5:$G$1004,5,FALSE)</f>
        <v>#N/A</v>
      </c>
    </row>
    <row r="959" spans="1:12" x14ac:dyDescent="0.2">
      <c r="A959">
        <f>'Shipment Data for Provisioning'!B964</f>
        <v>0</v>
      </c>
      <c r="B959">
        <f>'Shipment Data for Provisioning'!C964</f>
        <v>0</v>
      </c>
      <c r="C959">
        <f>'Shipment Data for Provisioning'!D964</f>
        <v>0</v>
      </c>
      <c r="D959">
        <f>'Shipment Data for Provisioning'!E964</f>
        <v>0</v>
      </c>
      <c r="E959">
        <f>'Shipment Data for Provisioning'!F964</f>
        <v>0</v>
      </c>
      <c r="F959">
        <f>'Shipment Data for Provisioning'!G964</f>
        <v>0</v>
      </c>
      <c r="G959">
        <f>'Shipment Data for Provisioning'!H964</f>
        <v>0</v>
      </c>
      <c r="H959">
        <f>'Shipment Data for Provisioning'!I964</f>
        <v>0</v>
      </c>
      <c r="I959" t="e">
        <f>VLOOKUP(B959,'Location Data'!$C$5:$G$1004,4,FALSE)</f>
        <v>#N/A</v>
      </c>
      <c r="J959" t="e">
        <f>VLOOKUP(B959,'Location Data'!$C$5:$G$1004,5,FALSE)</f>
        <v>#N/A</v>
      </c>
      <c r="K959" t="e">
        <f>VLOOKUP(C959,'Location Data'!$C$5:$G$1004,4,FALSE)</f>
        <v>#N/A</v>
      </c>
      <c r="L959" t="e">
        <f>VLOOKUP(C959,'Location Data'!$C$5:$G$1004,5,FALSE)</f>
        <v>#N/A</v>
      </c>
    </row>
    <row r="960" spans="1:12" x14ac:dyDescent="0.2">
      <c r="A960">
        <f>'Shipment Data for Provisioning'!B965</f>
        <v>0</v>
      </c>
      <c r="B960">
        <f>'Shipment Data for Provisioning'!C965</f>
        <v>0</v>
      </c>
      <c r="C960">
        <f>'Shipment Data for Provisioning'!D965</f>
        <v>0</v>
      </c>
      <c r="D960">
        <f>'Shipment Data for Provisioning'!E965</f>
        <v>0</v>
      </c>
      <c r="E960">
        <f>'Shipment Data for Provisioning'!F965</f>
        <v>0</v>
      </c>
      <c r="F960">
        <f>'Shipment Data for Provisioning'!G965</f>
        <v>0</v>
      </c>
      <c r="G960">
        <f>'Shipment Data for Provisioning'!H965</f>
        <v>0</v>
      </c>
      <c r="H960">
        <f>'Shipment Data for Provisioning'!I965</f>
        <v>0</v>
      </c>
      <c r="I960" t="e">
        <f>VLOOKUP(B960,'Location Data'!$C$5:$G$1004,4,FALSE)</f>
        <v>#N/A</v>
      </c>
      <c r="J960" t="e">
        <f>VLOOKUP(B960,'Location Data'!$C$5:$G$1004,5,FALSE)</f>
        <v>#N/A</v>
      </c>
      <c r="K960" t="e">
        <f>VLOOKUP(C960,'Location Data'!$C$5:$G$1004,4,FALSE)</f>
        <v>#N/A</v>
      </c>
      <c r="L960" t="e">
        <f>VLOOKUP(C960,'Location Data'!$C$5:$G$1004,5,FALSE)</f>
        <v>#N/A</v>
      </c>
    </row>
    <row r="961" spans="1:12" x14ac:dyDescent="0.2">
      <c r="A961">
        <f>'Shipment Data for Provisioning'!B966</f>
        <v>0</v>
      </c>
      <c r="B961">
        <f>'Shipment Data for Provisioning'!C966</f>
        <v>0</v>
      </c>
      <c r="C961">
        <f>'Shipment Data for Provisioning'!D966</f>
        <v>0</v>
      </c>
      <c r="D961">
        <f>'Shipment Data for Provisioning'!E966</f>
        <v>0</v>
      </c>
      <c r="E961">
        <f>'Shipment Data for Provisioning'!F966</f>
        <v>0</v>
      </c>
      <c r="F961">
        <f>'Shipment Data for Provisioning'!G966</f>
        <v>0</v>
      </c>
      <c r="G961">
        <f>'Shipment Data for Provisioning'!H966</f>
        <v>0</v>
      </c>
      <c r="H961">
        <f>'Shipment Data for Provisioning'!I966</f>
        <v>0</v>
      </c>
      <c r="I961" t="e">
        <f>VLOOKUP(B961,'Location Data'!$C$5:$G$1004,4,FALSE)</f>
        <v>#N/A</v>
      </c>
      <c r="J961" t="e">
        <f>VLOOKUP(B961,'Location Data'!$C$5:$G$1004,5,FALSE)</f>
        <v>#N/A</v>
      </c>
      <c r="K961" t="e">
        <f>VLOOKUP(C961,'Location Data'!$C$5:$G$1004,4,FALSE)</f>
        <v>#N/A</v>
      </c>
      <c r="L961" t="e">
        <f>VLOOKUP(C961,'Location Data'!$C$5:$G$1004,5,FALSE)</f>
        <v>#N/A</v>
      </c>
    </row>
    <row r="962" spans="1:12" x14ac:dyDescent="0.2">
      <c r="A962">
        <f>'Shipment Data for Provisioning'!B967</f>
        <v>0</v>
      </c>
      <c r="B962">
        <f>'Shipment Data for Provisioning'!C967</f>
        <v>0</v>
      </c>
      <c r="C962">
        <f>'Shipment Data for Provisioning'!D967</f>
        <v>0</v>
      </c>
      <c r="D962">
        <f>'Shipment Data for Provisioning'!E967</f>
        <v>0</v>
      </c>
      <c r="E962">
        <f>'Shipment Data for Provisioning'!F967</f>
        <v>0</v>
      </c>
      <c r="F962">
        <f>'Shipment Data for Provisioning'!G967</f>
        <v>0</v>
      </c>
      <c r="G962">
        <f>'Shipment Data for Provisioning'!H967</f>
        <v>0</v>
      </c>
      <c r="H962">
        <f>'Shipment Data for Provisioning'!I967</f>
        <v>0</v>
      </c>
      <c r="I962" t="e">
        <f>VLOOKUP(B962,'Location Data'!$C$5:$G$1004,4,FALSE)</f>
        <v>#N/A</v>
      </c>
      <c r="J962" t="e">
        <f>VLOOKUP(B962,'Location Data'!$C$5:$G$1004,5,FALSE)</f>
        <v>#N/A</v>
      </c>
      <c r="K962" t="e">
        <f>VLOOKUP(C962,'Location Data'!$C$5:$G$1004,4,FALSE)</f>
        <v>#N/A</v>
      </c>
      <c r="L962" t="e">
        <f>VLOOKUP(C962,'Location Data'!$C$5:$G$1004,5,FALSE)</f>
        <v>#N/A</v>
      </c>
    </row>
    <row r="963" spans="1:12" x14ac:dyDescent="0.2">
      <c r="A963">
        <f>'Shipment Data for Provisioning'!B968</f>
        <v>0</v>
      </c>
      <c r="B963">
        <f>'Shipment Data for Provisioning'!C968</f>
        <v>0</v>
      </c>
      <c r="C963">
        <f>'Shipment Data for Provisioning'!D968</f>
        <v>0</v>
      </c>
      <c r="D963">
        <f>'Shipment Data for Provisioning'!E968</f>
        <v>0</v>
      </c>
      <c r="E963">
        <f>'Shipment Data for Provisioning'!F968</f>
        <v>0</v>
      </c>
      <c r="F963">
        <f>'Shipment Data for Provisioning'!G968</f>
        <v>0</v>
      </c>
      <c r="G963">
        <f>'Shipment Data for Provisioning'!H968</f>
        <v>0</v>
      </c>
      <c r="H963">
        <f>'Shipment Data for Provisioning'!I968</f>
        <v>0</v>
      </c>
      <c r="I963" t="e">
        <f>VLOOKUP(B963,'Location Data'!$C$5:$G$1004,4,FALSE)</f>
        <v>#N/A</v>
      </c>
      <c r="J963" t="e">
        <f>VLOOKUP(B963,'Location Data'!$C$5:$G$1004,5,FALSE)</f>
        <v>#N/A</v>
      </c>
      <c r="K963" t="e">
        <f>VLOOKUP(C963,'Location Data'!$C$5:$G$1004,4,FALSE)</f>
        <v>#N/A</v>
      </c>
      <c r="L963" t="e">
        <f>VLOOKUP(C963,'Location Data'!$C$5:$G$1004,5,FALSE)</f>
        <v>#N/A</v>
      </c>
    </row>
    <row r="964" spans="1:12" x14ac:dyDescent="0.2">
      <c r="A964">
        <f>'Shipment Data for Provisioning'!B969</f>
        <v>0</v>
      </c>
      <c r="B964">
        <f>'Shipment Data for Provisioning'!C969</f>
        <v>0</v>
      </c>
      <c r="C964">
        <f>'Shipment Data for Provisioning'!D969</f>
        <v>0</v>
      </c>
      <c r="D964">
        <f>'Shipment Data for Provisioning'!E969</f>
        <v>0</v>
      </c>
      <c r="E964">
        <f>'Shipment Data for Provisioning'!F969</f>
        <v>0</v>
      </c>
      <c r="F964">
        <f>'Shipment Data for Provisioning'!G969</f>
        <v>0</v>
      </c>
      <c r="G964">
        <f>'Shipment Data for Provisioning'!H969</f>
        <v>0</v>
      </c>
      <c r="H964">
        <f>'Shipment Data for Provisioning'!I969</f>
        <v>0</v>
      </c>
      <c r="I964" t="e">
        <f>VLOOKUP(B964,'Location Data'!$C$5:$G$1004,4,FALSE)</f>
        <v>#N/A</v>
      </c>
      <c r="J964" t="e">
        <f>VLOOKUP(B964,'Location Data'!$C$5:$G$1004,5,FALSE)</f>
        <v>#N/A</v>
      </c>
      <c r="K964" t="e">
        <f>VLOOKUP(C964,'Location Data'!$C$5:$G$1004,4,FALSE)</f>
        <v>#N/A</v>
      </c>
      <c r="L964" t="e">
        <f>VLOOKUP(C964,'Location Data'!$C$5:$G$1004,5,FALSE)</f>
        <v>#N/A</v>
      </c>
    </row>
    <row r="965" spans="1:12" x14ac:dyDescent="0.2">
      <c r="A965">
        <f>'Shipment Data for Provisioning'!B970</f>
        <v>0</v>
      </c>
      <c r="B965">
        <f>'Shipment Data for Provisioning'!C970</f>
        <v>0</v>
      </c>
      <c r="C965">
        <f>'Shipment Data for Provisioning'!D970</f>
        <v>0</v>
      </c>
      <c r="D965">
        <f>'Shipment Data for Provisioning'!E970</f>
        <v>0</v>
      </c>
      <c r="E965">
        <f>'Shipment Data for Provisioning'!F970</f>
        <v>0</v>
      </c>
      <c r="F965">
        <f>'Shipment Data for Provisioning'!G970</f>
        <v>0</v>
      </c>
      <c r="G965">
        <f>'Shipment Data for Provisioning'!H970</f>
        <v>0</v>
      </c>
      <c r="H965">
        <f>'Shipment Data for Provisioning'!I970</f>
        <v>0</v>
      </c>
      <c r="I965" t="e">
        <f>VLOOKUP(B965,'Location Data'!$C$5:$G$1004,4,FALSE)</f>
        <v>#N/A</v>
      </c>
      <c r="J965" t="e">
        <f>VLOOKUP(B965,'Location Data'!$C$5:$G$1004,5,FALSE)</f>
        <v>#N/A</v>
      </c>
      <c r="K965" t="e">
        <f>VLOOKUP(C965,'Location Data'!$C$5:$G$1004,4,FALSE)</f>
        <v>#N/A</v>
      </c>
      <c r="L965" t="e">
        <f>VLOOKUP(C965,'Location Data'!$C$5:$G$1004,5,FALSE)</f>
        <v>#N/A</v>
      </c>
    </row>
    <row r="966" spans="1:12" x14ac:dyDescent="0.2">
      <c r="A966">
        <f>'Shipment Data for Provisioning'!B971</f>
        <v>0</v>
      </c>
      <c r="B966">
        <f>'Shipment Data for Provisioning'!C971</f>
        <v>0</v>
      </c>
      <c r="C966">
        <f>'Shipment Data for Provisioning'!D971</f>
        <v>0</v>
      </c>
      <c r="D966">
        <f>'Shipment Data for Provisioning'!E971</f>
        <v>0</v>
      </c>
      <c r="E966">
        <f>'Shipment Data for Provisioning'!F971</f>
        <v>0</v>
      </c>
      <c r="F966">
        <f>'Shipment Data for Provisioning'!G971</f>
        <v>0</v>
      </c>
      <c r="G966">
        <f>'Shipment Data for Provisioning'!H971</f>
        <v>0</v>
      </c>
      <c r="H966">
        <f>'Shipment Data for Provisioning'!I971</f>
        <v>0</v>
      </c>
      <c r="I966" t="e">
        <f>VLOOKUP(B966,'Location Data'!$C$5:$G$1004,4,FALSE)</f>
        <v>#N/A</v>
      </c>
      <c r="J966" t="e">
        <f>VLOOKUP(B966,'Location Data'!$C$5:$G$1004,5,FALSE)</f>
        <v>#N/A</v>
      </c>
      <c r="K966" t="e">
        <f>VLOOKUP(C966,'Location Data'!$C$5:$G$1004,4,FALSE)</f>
        <v>#N/A</v>
      </c>
      <c r="L966" t="e">
        <f>VLOOKUP(C966,'Location Data'!$C$5:$G$1004,5,FALSE)</f>
        <v>#N/A</v>
      </c>
    </row>
    <row r="967" spans="1:12" x14ac:dyDescent="0.2">
      <c r="A967">
        <f>'Shipment Data for Provisioning'!B972</f>
        <v>0</v>
      </c>
      <c r="B967">
        <f>'Shipment Data for Provisioning'!C972</f>
        <v>0</v>
      </c>
      <c r="C967">
        <f>'Shipment Data for Provisioning'!D972</f>
        <v>0</v>
      </c>
      <c r="D967">
        <f>'Shipment Data for Provisioning'!E972</f>
        <v>0</v>
      </c>
      <c r="E967">
        <f>'Shipment Data for Provisioning'!F972</f>
        <v>0</v>
      </c>
      <c r="F967">
        <f>'Shipment Data for Provisioning'!G972</f>
        <v>0</v>
      </c>
      <c r="G967">
        <f>'Shipment Data for Provisioning'!H972</f>
        <v>0</v>
      </c>
      <c r="H967">
        <f>'Shipment Data for Provisioning'!I972</f>
        <v>0</v>
      </c>
      <c r="I967" t="e">
        <f>VLOOKUP(B967,'Location Data'!$C$5:$G$1004,4,FALSE)</f>
        <v>#N/A</v>
      </c>
      <c r="J967" t="e">
        <f>VLOOKUP(B967,'Location Data'!$C$5:$G$1004,5,FALSE)</f>
        <v>#N/A</v>
      </c>
      <c r="K967" t="e">
        <f>VLOOKUP(C967,'Location Data'!$C$5:$G$1004,4,FALSE)</f>
        <v>#N/A</v>
      </c>
      <c r="L967" t="e">
        <f>VLOOKUP(C967,'Location Data'!$C$5:$G$1004,5,FALSE)</f>
        <v>#N/A</v>
      </c>
    </row>
    <row r="968" spans="1:12" x14ac:dyDescent="0.2">
      <c r="A968">
        <f>'Shipment Data for Provisioning'!B973</f>
        <v>0</v>
      </c>
      <c r="B968">
        <f>'Shipment Data for Provisioning'!C973</f>
        <v>0</v>
      </c>
      <c r="C968">
        <f>'Shipment Data for Provisioning'!D973</f>
        <v>0</v>
      </c>
      <c r="D968">
        <f>'Shipment Data for Provisioning'!E973</f>
        <v>0</v>
      </c>
      <c r="E968">
        <f>'Shipment Data for Provisioning'!F973</f>
        <v>0</v>
      </c>
      <c r="F968">
        <f>'Shipment Data for Provisioning'!G973</f>
        <v>0</v>
      </c>
      <c r="G968">
        <f>'Shipment Data for Provisioning'!H973</f>
        <v>0</v>
      </c>
      <c r="H968">
        <f>'Shipment Data for Provisioning'!I973</f>
        <v>0</v>
      </c>
      <c r="I968" t="e">
        <f>VLOOKUP(B968,'Location Data'!$C$5:$G$1004,4,FALSE)</f>
        <v>#N/A</v>
      </c>
      <c r="J968" t="e">
        <f>VLOOKUP(B968,'Location Data'!$C$5:$G$1004,5,FALSE)</f>
        <v>#N/A</v>
      </c>
      <c r="K968" t="e">
        <f>VLOOKUP(C968,'Location Data'!$C$5:$G$1004,4,FALSE)</f>
        <v>#N/A</v>
      </c>
      <c r="L968" t="e">
        <f>VLOOKUP(C968,'Location Data'!$C$5:$G$1004,5,FALSE)</f>
        <v>#N/A</v>
      </c>
    </row>
    <row r="969" spans="1:12" x14ac:dyDescent="0.2">
      <c r="A969">
        <f>'Shipment Data for Provisioning'!B974</f>
        <v>0</v>
      </c>
      <c r="B969">
        <f>'Shipment Data for Provisioning'!C974</f>
        <v>0</v>
      </c>
      <c r="C969">
        <f>'Shipment Data for Provisioning'!D974</f>
        <v>0</v>
      </c>
      <c r="D969">
        <f>'Shipment Data for Provisioning'!E974</f>
        <v>0</v>
      </c>
      <c r="E969">
        <f>'Shipment Data for Provisioning'!F974</f>
        <v>0</v>
      </c>
      <c r="F969">
        <f>'Shipment Data for Provisioning'!G974</f>
        <v>0</v>
      </c>
      <c r="G969">
        <f>'Shipment Data for Provisioning'!H974</f>
        <v>0</v>
      </c>
      <c r="H969">
        <f>'Shipment Data for Provisioning'!I974</f>
        <v>0</v>
      </c>
      <c r="I969" t="e">
        <f>VLOOKUP(B969,'Location Data'!$C$5:$G$1004,4,FALSE)</f>
        <v>#N/A</v>
      </c>
      <c r="J969" t="e">
        <f>VLOOKUP(B969,'Location Data'!$C$5:$G$1004,5,FALSE)</f>
        <v>#N/A</v>
      </c>
      <c r="K969" t="e">
        <f>VLOOKUP(C969,'Location Data'!$C$5:$G$1004,4,FALSE)</f>
        <v>#N/A</v>
      </c>
      <c r="L969" t="e">
        <f>VLOOKUP(C969,'Location Data'!$C$5:$G$1004,5,FALSE)</f>
        <v>#N/A</v>
      </c>
    </row>
    <row r="970" spans="1:12" x14ac:dyDescent="0.2">
      <c r="A970">
        <f>'Shipment Data for Provisioning'!B975</f>
        <v>0</v>
      </c>
      <c r="B970">
        <f>'Shipment Data for Provisioning'!C975</f>
        <v>0</v>
      </c>
      <c r="C970">
        <f>'Shipment Data for Provisioning'!D975</f>
        <v>0</v>
      </c>
      <c r="D970">
        <f>'Shipment Data for Provisioning'!E975</f>
        <v>0</v>
      </c>
      <c r="E970">
        <f>'Shipment Data for Provisioning'!F975</f>
        <v>0</v>
      </c>
      <c r="F970">
        <f>'Shipment Data for Provisioning'!G975</f>
        <v>0</v>
      </c>
      <c r="G970">
        <f>'Shipment Data for Provisioning'!H975</f>
        <v>0</v>
      </c>
      <c r="H970">
        <f>'Shipment Data for Provisioning'!I975</f>
        <v>0</v>
      </c>
      <c r="I970" t="e">
        <f>VLOOKUP(B970,'Location Data'!$C$5:$G$1004,4,FALSE)</f>
        <v>#N/A</v>
      </c>
      <c r="J970" t="e">
        <f>VLOOKUP(B970,'Location Data'!$C$5:$G$1004,5,FALSE)</f>
        <v>#N/A</v>
      </c>
      <c r="K970" t="e">
        <f>VLOOKUP(C970,'Location Data'!$C$5:$G$1004,4,FALSE)</f>
        <v>#N/A</v>
      </c>
      <c r="L970" t="e">
        <f>VLOOKUP(C970,'Location Data'!$C$5:$G$1004,5,FALSE)</f>
        <v>#N/A</v>
      </c>
    </row>
    <row r="971" spans="1:12" x14ac:dyDescent="0.2">
      <c r="A971">
        <f>'Shipment Data for Provisioning'!B976</f>
        <v>0</v>
      </c>
      <c r="B971">
        <f>'Shipment Data for Provisioning'!C976</f>
        <v>0</v>
      </c>
      <c r="C971">
        <f>'Shipment Data for Provisioning'!D976</f>
        <v>0</v>
      </c>
      <c r="D971">
        <f>'Shipment Data for Provisioning'!E976</f>
        <v>0</v>
      </c>
      <c r="E971">
        <f>'Shipment Data for Provisioning'!F976</f>
        <v>0</v>
      </c>
      <c r="F971">
        <f>'Shipment Data for Provisioning'!G976</f>
        <v>0</v>
      </c>
      <c r="G971">
        <f>'Shipment Data for Provisioning'!H976</f>
        <v>0</v>
      </c>
      <c r="H971">
        <f>'Shipment Data for Provisioning'!I976</f>
        <v>0</v>
      </c>
      <c r="I971" t="e">
        <f>VLOOKUP(B971,'Location Data'!$C$5:$G$1004,4,FALSE)</f>
        <v>#N/A</v>
      </c>
      <c r="J971" t="e">
        <f>VLOOKUP(B971,'Location Data'!$C$5:$G$1004,5,FALSE)</f>
        <v>#N/A</v>
      </c>
      <c r="K971" t="e">
        <f>VLOOKUP(C971,'Location Data'!$C$5:$G$1004,4,FALSE)</f>
        <v>#N/A</v>
      </c>
      <c r="L971" t="e">
        <f>VLOOKUP(C971,'Location Data'!$C$5:$G$1004,5,FALSE)</f>
        <v>#N/A</v>
      </c>
    </row>
    <row r="972" spans="1:12" x14ac:dyDescent="0.2">
      <c r="A972">
        <f>'Shipment Data for Provisioning'!B977</f>
        <v>0</v>
      </c>
      <c r="B972">
        <f>'Shipment Data for Provisioning'!C977</f>
        <v>0</v>
      </c>
      <c r="C972">
        <f>'Shipment Data for Provisioning'!D977</f>
        <v>0</v>
      </c>
      <c r="D972">
        <f>'Shipment Data for Provisioning'!E977</f>
        <v>0</v>
      </c>
      <c r="E972">
        <f>'Shipment Data for Provisioning'!F977</f>
        <v>0</v>
      </c>
      <c r="F972">
        <f>'Shipment Data for Provisioning'!G977</f>
        <v>0</v>
      </c>
      <c r="G972">
        <f>'Shipment Data for Provisioning'!H977</f>
        <v>0</v>
      </c>
      <c r="H972">
        <f>'Shipment Data for Provisioning'!I977</f>
        <v>0</v>
      </c>
      <c r="I972" t="e">
        <f>VLOOKUP(B972,'Location Data'!$C$5:$G$1004,4,FALSE)</f>
        <v>#N/A</v>
      </c>
      <c r="J972" t="e">
        <f>VLOOKUP(B972,'Location Data'!$C$5:$G$1004,5,FALSE)</f>
        <v>#N/A</v>
      </c>
      <c r="K972" t="e">
        <f>VLOOKUP(C972,'Location Data'!$C$5:$G$1004,4,FALSE)</f>
        <v>#N/A</v>
      </c>
      <c r="L972" t="e">
        <f>VLOOKUP(C972,'Location Data'!$C$5:$G$1004,5,FALSE)</f>
        <v>#N/A</v>
      </c>
    </row>
    <row r="973" spans="1:12" x14ac:dyDescent="0.2">
      <c r="A973">
        <f>'Shipment Data for Provisioning'!B978</f>
        <v>0</v>
      </c>
      <c r="B973">
        <f>'Shipment Data for Provisioning'!C978</f>
        <v>0</v>
      </c>
      <c r="C973">
        <f>'Shipment Data for Provisioning'!D978</f>
        <v>0</v>
      </c>
      <c r="D973">
        <f>'Shipment Data for Provisioning'!E978</f>
        <v>0</v>
      </c>
      <c r="E973">
        <f>'Shipment Data for Provisioning'!F978</f>
        <v>0</v>
      </c>
      <c r="F973">
        <f>'Shipment Data for Provisioning'!G978</f>
        <v>0</v>
      </c>
      <c r="G973">
        <f>'Shipment Data for Provisioning'!H978</f>
        <v>0</v>
      </c>
      <c r="H973">
        <f>'Shipment Data for Provisioning'!I978</f>
        <v>0</v>
      </c>
      <c r="I973" t="e">
        <f>VLOOKUP(B973,'Location Data'!$C$5:$G$1004,4,FALSE)</f>
        <v>#N/A</v>
      </c>
      <c r="J973" t="e">
        <f>VLOOKUP(B973,'Location Data'!$C$5:$G$1004,5,FALSE)</f>
        <v>#N/A</v>
      </c>
      <c r="K973" t="e">
        <f>VLOOKUP(C973,'Location Data'!$C$5:$G$1004,4,FALSE)</f>
        <v>#N/A</v>
      </c>
      <c r="L973" t="e">
        <f>VLOOKUP(C973,'Location Data'!$C$5:$G$1004,5,FALSE)</f>
        <v>#N/A</v>
      </c>
    </row>
    <row r="974" spans="1:12" x14ac:dyDescent="0.2">
      <c r="A974">
        <f>'Shipment Data for Provisioning'!B979</f>
        <v>0</v>
      </c>
      <c r="B974">
        <f>'Shipment Data for Provisioning'!C979</f>
        <v>0</v>
      </c>
      <c r="C974">
        <f>'Shipment Data for Provisioning'!D979</f>
        <v>0</v>
      </c>
      <c r="D974">
        <f>'Shipment Data for Provisioning'!E979</f>
        <v>0</v>
      </c>
      <c r="E974">
        <f>'Shipment Data for Provisioning'!F979</f>
        <v>0</v>
      </c>
      <c r="F974">
        <f>'Shipment Data for Provisioning'!G979</f>
        <v>0</v>
      </c>
      <c r="G974">
        <f>'Shipment Data for Provisioning'!H979</f>
        <v>0</v>
      </c>
      <c r="H974">
        <f>'Shipment Data for Provisioning'!I979</f>
        <v>0</v>
      </c>
      <c r="I974" t="e">
        <f>VLOOKUP(B974,'Location Data'!$C$5:$G$1004,4,FALSE)</f>
        <v>#N/A</v>
      </c>
      <c r="J974" t="e">
        <f>VLOOKUP(B974,'Location Data'!$C$5:$G$1004,5,FALSE)</f>
        <v>#N/A</v>
      </c>
      <c r="K974" t="e">
        <f>VLOOKUP(C974,'Location Data'!$C$5:$G$1004,4,FALSE)</f>
        <v>#N/A</v>
      </c>
      <c r="L974" t="e">
        <f>VLOOKUP(C974,'Location Data'!$C$5:$G$1004,5,FALSE)</f>
        <v>#N/A</v>
      </c>
    </row>
    <row r="975" spans="1:12" x14ac:dyDescent="0.2">
      <c r="A975">
        <f>'Shipment Data for Provisioning'!B980</f>
        <v>0</v>
      </c>
      <c r="B975">
        <f>'Shipment Data for Provisioning'!C980</f>
        <v>0</v>
      </c>
      <c r="C975">
        <f>'Shipment Data for Provisioning'!D980</f>
        <v>0</v>
      </c>
      <c r="D975">
        <f>'Shipment Data for Provisioning'!E980</f>
        <v>0</v>
      </c>
      <c r="E975">
        <f>'Shipment Data for Provisioning'!F980</f>
        <v>0</v>
      </c>
      <c r="F975">
        <f>'Shipment Data for Provisioning'!G980</f>
        <v>0</v>
      </c>
      <c r="G975">
        <f>'Shipment Data for Provisioning'!H980</f>
        <v>0</v>
      </c>
      <c r="H975">
        <f>'Shipment Data for Provisioning'!I980</f>
        <v>0</v>
      </c>
      <c r="I975" t="e">
        <f>VLOOKUP(B975,'Location Data'!$C$5:$G$1004,4,FALSE)</f>
        <v>#N/A</v>
      </c>
      <c r="J975" t="e">
        <f>VLOOKUP(B975,'Location Data'!$C$5:$G$1004,5,FALSE)</f>
        <v>#N/A</v>
      </c>
      <c r="K975" t="e">
        <f>VLOOKUP(C975,'Location Data'!$C$5:$G$1004,4,FALSE)</f>
        <v>#N/A</v>
      </c>
      <c r="L975" t="e">
        <f>VLOOKUP(C975,'Location Data'!$C$5:$G$1004,5,FALSE)</f>
        <v>#N/A</v>
      </c>
    </row>
    <row r="976" spans="1:12" x14ac:dyDescent="0.2">
      <c r="A976">
        <f>'Shipment Data for Provisioning'!B981</f>
        <v>0</v>
      </c>
      <c r="B976">
        <f>'Shipment Data for Provisioning'!C981</f>
        <v>0</v>
      </c>
      <c r="C976">
        <f>'Shipment Data for Provisioning'!D981</f>
        <v>0</v>
      </c>
      <c r="D976">
        <f>'Shipment Data for Provisioning'!E981</f>
        <v>0</v>
      </c>
      <c r="E976">
        <f>'Shipment Data for Provisioning'!F981</f>
        <v>0</v>
      </c>
      <c r="F976">
        <f>'Shipment Data for Provisioning'!G981</f>
        <v>0</v>
      </c>
      <c r="G976">
        <f>'Shipment Data for Provisioning'!H981</f>
        <v>0</v>
      </c>
      <c r="H976">
        <f>'Shipment Data for Provisioning'!I981</f>
        <v>0</v>
      </c>
      <c r="I976" t="e">
        <f>VLOOKUP(B976,'Location Data'!$C$5:$G$1004,4,FALSE)</f>
        <v>#N/A</v>
      </c>
      <c r="J976" t="e">
        <f>VLOOKUP(B976,'Location Data'!$C$5:$G$1004,5,FALSE)</f>
        <v>#N/A</v>
      </c>
      <c r="K976" t="e">
        <f>VLOOKUP(C976,'Location Data'!$C$5:$G$1004,4,FALSE)</f>
        <v>#N/A</v>
      </c>
      <c r="L976" t="e">
        <f>VLOOKUP(C976,'Location Data'!$C$5:$G$1004,5,FALSE)</f>
        <v>#N/A</v>
      </c>
    </row>
    <row r="977" spans="1:12" x14ac:dyDescent="0.2">
      <c r="A977">
        <f>'Shipment Data for Provisioning'!B982</f>
        <v>0</v>
      </c>
      <c r="B977">
        <f>'Shipment Data for Provisioning'!C982</f>
        <v>0</v>
      </c>
      <c r="C977">
        <f>'Shipment Data for Provisioning'!D982</f>
        <v>0</v>
      </c>
      <c r="D977">
        <f>'Shipment Data for Provisioning'!E982</f>
        <v>0</v>
      </c>
      <c r="E977">
        <f>'Shipment Data for Provisioning'!F982</f>
        <v>0</v>
      </c>
      <c r="F977">
        <f>'Shipment Data for Provisioning'!G982</f>
        <v>0</v>
      </c>
      <c r="G977">
        <f>'Shipment Data for Provisioning'!H982</f>
        <v>0</v>
      </c>
      <c r="H977">
        <f>'Shipment Data for Provisioning'!I982</f>
        <v>0</v>
      </c>
      <c r="I977" t="e">
        <f>VLOOKUP(B977,'Location Data'!$C$5:$G$1004,4,FALSE)</f>
        <v>#N/A</v>
      </c>
      <c r="J977" t="e">
        <f>VLOOKUP(B977,'Location Data'!$C$5:$G$1004,5,FALSE)</f>
        <v>#N/A</v>
      </c>
      <c r="K977" t="e">
        <f>VLOOKUP(C977,'Location Data'!$C$5:$G$1004,4,FALSE)</f>
        <v>#N/A</v>
      </c>
      <c r="L977" t="e">
        <f>VLOOKUP(C977,'Location Data'!$C$5:$G$1004,5,FALSE)</f>
        <v>#N/A</v>
      </c>
    </row>
    <row r="978" spans="1:12" x14ac:dyDescent="0.2">
      <c r="A978">
        <f>'Shipment Data for Provisioning'!B983</f>
        <v>0</v>
      </c>
      <c r="B978">
        <f>'Shipment Data for Provisioning'!C983</f>
        <v>0</v>
      </c>
      <c r="C978">
        <f>'Shipment Data for Provisioning'!D983</f>
        <v>0</v>
      </c>
      <c r="D978">
        <f>'Shipment Data for Provisioning'!E983</f>
        <v>0</v>
      </c>
      <c r="E978">
        <f>'Shipment Data for Provisioning'!F983</f>
        <v>0</v>
      </c>
      <c r="F978">
        <f>'Shipment Data for Provisioning'!G983</f>
        <v>0</v>
      </c>
      <c r="G978">
        <f>'Shipment Data for Provisioning'!H983</f>
        <v>0</v>
      </c>
      <c r="H978">
        <f>'Shipment Data for Provisioning'!I983</f>
        <v>0</v>
      </c>
      <c r="I978" t="e">
        <f>VLOOKUP(B978,'Location Data'!$C$5:$G$1004,4,FALSE)</f>
        <v>#N/A</v>
      </c>
      <c r="J978" t="e">
        <f>VLOOKUP(B978,'Location Data'!$C$5:$G$1004,5,FALSE)</f>
        <v>#N/A</v>
      </c>
      <c r="K978" t="e">
        <f>VLOOKUP(C978,'Location Data'!$C$5:$G$1004,4,FALSE)</f>
        <v>#N/A</v>
      </c>
      <c r="L978" t="e">
        <f>VLOOKUP(C978,'Location Data'!$C$5:$G$1004,5,FALSE)</f>
        <v>#N/A</v>
      </c>
    </row>
    <row r="979" spans="1:12" x14ac:dyDescent="0.2">
      <c r="A979">
        <f>'Shipment Data for Provisioning'!B984</f>
        <v>0</v>
      </c>
      <c r="B979">
        <f>'Shipment Data for Provisioning'!C984</f>
        <v>0</v>
      </c>
      <c r="C979">
        <f>'Shipment Data for Provisioning'!D984</f>
        <v>0</v>
      </c>
      <c r="D979">
        <f>'Shipment Data for Provisioning'!E984</f>
        <v>0</v>
      </c>
      <c r="E979">
        <f>'Shipment Data for Provisioning'!F984</f>
        <v>0</v>
      </c>
      <c r="F979">
        <f>'Shipment Data for Provisioning'!G984</f>
        <v>0</v>
      </c>
      <c r="G979">
        <f>'Shipment Data for Provisioning'!H984</f>
        <v>0</v>
      </c>
      <c r="H979">
        <f>'Shipment Data for Provisioning'!I984</f>
        <v>0</v>
      </c>
      <c r="I979" t="e">
        <f>VLOOKUP(B979,'Location Data'!$C$5:$G$1004,4,FALSE)</f>
        <v>#N/A</v>
      </c>
      <c r="J979" t="e">
        <f>VLOOKUP(B979,'Location Data'!$C$5:$G$1004,5,FALSE)</f>
        <v>#N/A</v>
      </c>
      <c r="K979" t="e">
        <f>VLOOKUP(C979,'Location Data'!$C$5:$G$1004,4,FALSE)</f>
        <v>#N/A</v>
      </c>
      <c r="L979" t="e">
        <f>VLOOKUP(C979,'Location Data'!$C$5:$G$1004,5,FALSE)</f>
        <v>#N/A</v>
      </c>
    </row>
    <row r="980" spans="1:12" x14ac:dyDescent="0.2">
      <c r="A980">
        <f>'Shipment Data for Provisioning'!B985</f>
        <v>0</v>
      </c>
      <c r="B980">
        <f>'Shipment Data for Provisioning'!C985</f>
        <v>0</v>
      </c>
      <c r="C980">
        <f>'Shipment Data for Provisioning'!D985</f>
        <v>0</v>
      </c>
      <c r="D980">
        <f>'Shipment Data for Provisioning'!E985</f>
        <v>0</v>
      </c>
      <c r="E980">
        <f>'Shipment Data for Provisioning'!F985</f>
        <v>0</v>
      </c>
      <c r="F980">
        <f>'Shipment Data for Provisioning'!G985</f>
        <v>0</v>
      </c>
      <c r="G980">
        <f>'Shipment Data for Provisioning'!H985</f>
        <v>0</v>
      </c>
      <c r="H980">
        <f>'Shipment Data for Provisioning'!I985</f>
        <v>0</v>
      </c>
      <c r="I980" t="e">
        <f>VLOOKUP(B980,'Location Data'!$C$5:$G$1004,4,FALSE)</f>
        <v>#N/A</v>
      </c>
      <c r="J980" t="e">
        <f>VLOOKUP(B980,'Location Data'!$C$5:$G$1004,5,FALSE)</f>
        <v>#N/A</v>
      </c>
      <c r="K980" t="e">
        <f>VLOOKUP(C980,'Location Data'!$C$5:$G$1004,4,FALSE)</f>
        <v>#N/A</v>
      </c>
      <c r="L980" t="e">
        <f>VLOOKUP(C980,'Location Data'!$C$5:$G$1004,5,FALSE)</f>
        <v>#N/A</v>
      </c>
    </row>
    <row r="981" spans="1:12" x14ac:dyDescent="0.2">
      <c r="A981">
        <f>'Shipment Data for Provisioning'!B986</f>
        <v>0</v>
      </c>
      <c r="B981">
        <f>'Shipment Data for Provisioning'!C986</f>
        <v>0</v>
      </c>
      <c r="C981">
        <f>'Shipment Data for Provisioning'!D986</f>
        <v>0</v>
      </c>
      <c r="D981">
        <f>'Shipment Data for Provisioning'!E986</f>
        <v>0</v>
      </c>
      <c r="E981">
        <f>'Shipment Data for Provisioning'!F986</f>
        <v>0</v>
      </c>
      <c r="F981">
        <f>'Shipment Data for Provisioning'!G986</f>
        <v>0</v>
      </c>
      <c r="G981">
        <f>'Shipment Data for Provisioning'!H986</f>
        <v>0</v>
      </c>
      <c r="H981">
        <f>'Shipment Data for Provisioning'!I986</f>
        <v>0</v>
      </c>
      <c r="I981" t="e">
        <f>VLOOKUP(B981,'Location Data'!$C$5:$G$1004,4,FALSE)</f>
        <v>#N/A</v>
      </c>
      <c r="J981" t="e">
        <f>VLOOKUP(B981,'Location Data'!$C$5:$G$1004,5,FALSE)</f>
        <v>#N/A</v>
      </c>
      <c r="K981" t="e">
        <f>VLOOKUP(C981,'Location Data'!$C$5:$G$1004,4,FALSE)</f>
        <v>#N/A</v>
      </c>
      <c r="L981" t="e">
        <f>VLOOKUP(C981,'Location Data'!$C$5:$G$1004,5,FALSE)</f>
        <v>#N/A</v>
      </c>
    </row>
    <row r="982" spans="1:12" x14ac:dyDescent="0.2">
      <c r="A982">
        <f>'Shipment Data for Provisioning'!B987</f>
        <v>0</v>
      </c>
      <c r="B982">
        <f>'Shipment Data for Provisioning'!C987</f>
        <v>0</v>
      </c>
      <c r="C982">
        <f>'Shipment Data for Provisioning'!D987</f>
        <v>0</v>
      </c>
      <c r="D982">
        <f>'Shipment Data for Provisioning'!E987</f>
        <v>0</v>
      </c>
      <c r="E982">
        <f>'Shipment Data for Provisioning'!F987</f>
        <v>0</v>
      </c>
      <c r="F982">
        <f>'Shipment Data for Provisioning'!G987</f>
        <v>0</v>
      </c>
      <c r="G982">
        <f>'Shipment Data for Provisioning'!H987</f>
        <v>0</v>
      </c>
      <c r="H982">
        <f>'Shipment Data for Provisioning'!I987</f>
        <v>0</v>
      </c>
      <c r="I982" t="e">
        <f>VLOOKUP(B982,'Location Data'!$C$5:$G$1004,4,FALSE)</f>
        <v>#N/A</v>
      </c>
      <c r="J982" t="e">
        <f>VLOOKUP(B982,'Location Data'!$C$5:$G$1004,5,FALSE)</f>
        <v>#N/A</v>
      </c>
      <c r="K982" t="e">
        <f>VLOOKUP(C982,'Location Data'!$C$5:$G$1004,4,FALSE)</f>
        <v>#N/A</v>
      </c>
      <c r="L982" t="e">
        <f>VLOOKUP(C982,'Location Data'!$C$5:$G$1004,5,FALSE)</f>
        <v>#N/A</v>
      </c>
    </row>
    <row r="983" spans="1:12" x14ac:dyDescent="0.2">
      <c r="A983">
        <f>'Shipment Data for Provisioning'!B988</f>
        <v>0</v>
      </c>
      <c r="B983">
        <f>'Shipment Data for Provisioning'!C988</f>
        <v>0</v>
      </c>
      <c r="C983">
        <f>'Shipment Data for Provisioning'!D988</f>
        <v>0</v>
      </c>
      <c r="D983">
        <f>'Shipment Data for Provisioning'!E988</f>
        <v>0</v>
      </c>
      <c r="E983">
        <f>'Shipment Data for Provisioning'!F988</f>
        <v>0</v>
      </c>
      <c r="F983">
        <f>'Shipment Data for Provisioning'!G988</f>
        <v>0</v>
      </c>
      <c r="G983">
        <f>'Shipment Data for Provisioning'!H988</f>
        <v>0</v>
      </c>
      <c r="H983">
        <f>'Shipment Data for Provisioning'!I988</f>
        <v>0</v>
      </c>
      <c r="I983" t="e">
        <f>VLOOKUP(B983,'Location Data'!$C$5:$G$1004,4,FALSE)</f>
        <v>#N/A</v>
      </c>
      <c r="J983" t="e">
        <f>VLOOKUP(B983,'Location Data'!$C$5:$G$1004,5,FALSE)</f>
        <v>#N/A</v>
      </c>
      <c r="K983" t="e">
        <f>VLOOKUP(C983,'Location Data'!$C$5:$G$1004,4,FALSE)</f>
        <v>#N/A</v>
      </c>
      <c r="L983" t="e">
        <f>VLOOKUP(C983,'Location Data'!$C$5:$G$1004,5,FALSE)</f>
        <v>#N/A</v>
      </c>
    </row>
    <row r="984" spans="1:12" x14ac:dyDescent="0.2">
      <c r="A984">
        <f>'Shipment Data for Provisioning'!B989</f>
        <v>0</v>
      </c>
      <c r="B984">
        <f>'Shipment Data for Provisioning'!C989</f>
        <v>0</v>
      </c>
      <c r="C984">
        <f>'Shipment Data for Provisioning'!D989</f>
        <v>0</v>
      </c>
      <c r="D984">
        <f>'Shipment Data for Provisioning'!E989</f>
        <v>0</v>
      </c>
      <c r="E984">
        <f>'Shipment Data for Provisioning'!F989</f>
        <v>0</v>
      </c>
      <c r="F984">
        <f>'Shipment Data for Provisioning'!G989</f>
        <v>0</v>
      </c>
      <c r="G984">
        <f>'Shipment Data for Provisioning'!H989</f>
        <v>0</v>
      </c>
      <c r="H984">
        <f>'Shipment Data for Provisioning'!I989</f>
        <v>0</v>
      </c>
      <c r="I984" t="e">
        <f>VLOOKUP(B984,'Location Data'!$C$5:$G$1004,4,FALSE)</f>
        <v>#N/A</v>
      </c>
      <c r="J984" t="e">
        <f>VLOOKUP(B984,'Location Data'!$C$5:$G$1004,5,FALSE)</f>
        <v>#N/A</v>
      </c>
      <c r="K984" t="e">
        <f>VLOOKUP(C984,'Location Data'!$C$5:$G$1004,4,FALSE)</f>
        <v>#N/A</v>
      </c>
      <c r="L984" t="e">
        <f>VLOOKUP(C984,'Location Data'!$C$5:$G$1004,5,FALSE)</f>
        <v>#N/A</v>
      </c>
    </row>
    <row r="985" spans="1:12" x14ac:dyDescent="0.2">
      <c r="A985">
        <f>'Shipment Data for Provisioning'!B990</f>
        <v>0</v>
      </c>
      <c r="B985">
        <f>'Shipment Data for Provisioning'!C990</f>
        <v>0</v>
      </c>
      <c r="C985">
        <f>'Shipment Data for Provisioning'!D990</f>
        <v>0</v>
      </c>
      <c r="D985">
        <f>'Shipment Data for Provisioning'!E990</f>
        <v>0</v>
      </c>
      <c r="E985">
        <f>'Shipment Data for Provisioning'!F990</f>
        <v>0</v>
      </c>
      <c r="F985">
        <f>'Shipment Data for Provisioning'!G990</f>
        <v>0</v>
      </c>
      <c r="G985">
        <f>'Shipment Data for Provisioning'!H990</f>
        <v>0</v>
      </c>
      <c r="H985">
        <f>'Shipment Data for Provisioning'!I990</f>
        <v>0</v>
      </c>
      <c r="I985" t="e">
        <f>VLOOKUP(B985,'Location Data'!$C$5:$G$1004,4,FALSE)</f>
        <v>#N/A</v>
      </c>
      <c r="J985" t="e">
        <f>VLOOKUP(B985,'Location Data'!$C$5:$G$1004,5,FALSE)</f>
        <v>#N/A</v>
      </c>
      <c r="K985" t="e">
        <f>VLOOKUP(C985,'Location Data'!$C$5:$G$1004,4,FALSE)</f>
        <v>#N/A</v>
      </c>
      <c r="L985" t="e">
        <f>VLOOKUP(C985,'Location Data'!$C$5:$G$1004,5,FALSE)</f>
        <v>#N/A</v>
      </c>
    </row>
    <row r="986" spans="1:12" x14ac:dyDescent="0.2">
      <c r="A986">
        <f>'Shipment Data for Provisioning'!B991</f>
        <v>0</v>
      </c>
      <c r="B986">
        <f>'Shipment Data for Provisioning'!C991</f>
        <v>0</v>
      </c>
      <c r="C986">
        <f>'Shipment Data for Provisioning'!D991</f>
        <v>0</v>
      </c>
      <c r="D986">
        <f>'Shipment Data for Provisioning'!E991</f>
        <v>0</v>
      </c>
      <c r="E986">
        <f>'Shipment Data for Provisioning'!F991</f>
        <v>0</v>
      </c>
      <c r="F986">
        <f>'Shipment Data for Provisioning'!G991</f>
        <v>0</v>
      </c>
      <c r="G986">
        <f>'Shipment Data for Provisioning'!H991</f>
        <v>0</v>
      </c>
      <c r="H986">
        <f>'Shipment Data for Provisioning'!I991</f>
        <v>0</v>
      </c>
      <c r="I986" t="e">
        <f>VLOOKUP(B986,'Location Data'!$C$5:$G$1004,4,FALSE)</f>
        <v>#N/A</v>
      </c>
      <c r="J986" t="e">
        <f>VLOOKUP(B986,'Location Data'!$C$5:$G$1004,5,FALSE)</f>
        <v>#N/A</v>
      </c>
      <c r="K986" t="e">
        <f>VLOOKUP(C986,'Location Data'!$C$5:$G$1004,4,FALSE)</f>
        <v>#N/A</v>
      </c>
      <c r="L986" t="e">
        <f>VLOOKUP(C986,'Location Data'!$C$5:$G$1004,5,FALSE)</f>
        <v>#N/A</v>
      </c>
    </row>
    <row r="987" spans="1:12" x14ac:dyDescent="0.2">
      <c r="A987">
        <f>'Shipment Data for Provisioning'!B992</f>
        <v>0</v>
      </c>
      <c r="B987">
        <f>'Shipment Data for Provisioning'!C992</f>
        <v>0</v>
      </c>
      <c r="C987">
        <f>'Shipment Data for Provisioning'!D992</f>
        <v>0</v>
      </c>
      <c r="D987">
        <f>'Shipment Data for Provisioning'!E992</f>
        <v>0</v>
      </c>
      <c r="E987">
        <f>'Shipment Data for Provisioning'!F992</f>
        <v>0</v>
      </c>
      <c r="F987">
        <f>'Shipment Data for Provisioning'!G992</f>
        <v>0</v>
      </c>
      <c r="G987">
        <f>'Shipment Data for Provisioning'!H992</f>
        <v>0</v>
      </c>
      <c r="H987">
        <f>'Shipment Data for Provisioning'!I992</f>
        <v>0</v>
      </c>
      <c r="I987" t="e">
        <f>VLOOKUP(B987,'Location Data'!$C$5:$G$1004,4,FALSE)</f>
        <v>#N/A</v>
      </c>
      <c r="J987" t="e">
        <f>VLOOKUP(B987,'Location Data'!$C$5:$G$1004,5,FALSE)</f>
        <v>#N/A</v>
      </c>
      <c r="K987" t="e">
        <f>VLOOKUP(C987,'Location Data'!$C$5:$G$1004,4,FALSE)</f>
        <v>#N/A</v>
      </c>
      <c r="L987" t="e">
        <f>VLOOKUP(C987,'Location Data'!$C$5:$G$1004,5,FALSE)</f>
        <v>#N/A</v>
      </c>
    </row>
    <row r="988" spans="1:12" x14ac:dyDescent="0.2">
      <c r="A988">
        <f>'Shipment Data for Provisioning'!B993</f>
        <v>0</v>
      </c>
      <c r="B988">
        <f>'Shipment Data for Provisioning'!C993</f>
        <v>0</v>
      </c>
      <c r="C988">
        <f>'Shipment Data for Provisioning'!D993</f>
        <v>0</v>
      </c>
      <c r="D988">
        <f>'Shipment Data for Provisioning'!E993</f>
        <v>0</v>
      </c>
      <c r="E988">
        <f>'Shipment Data for Provisioning'!F993</f>
        <v>0</v>
      </c>
      <c r="F988">
        <f>'Shipment Data for Provisioning'!G993</f>
        <v>0</v>
      </c>
      <c r="G988">
        <f>'Shipment Data for Provisioning'!H993</f>
        <v>0</v>
      </c>
      <c r="H988">
        <f>'Shipment Data for Provisioning'!I993</f>
        <v>0</v>
      </c>
      <c r="I988" t="e">
        <f>VLOOKUP(B988,'Location Data'!$C$5:$G$1004,4,FALSE)</f>
        <v>#N/A</v>
      </c>
      <c r="J988" t="e">
        <f>VLOOKUP(B988,'Location Data'!$C$5:$G$1004,5,FALSE)</f>
        <v>#N/A</v>
      </c>
      <c r="K988" t="e">
        <f>VLOOKUP(C988,'Location Data'!$C$5:$G$1004,4,FALSE)</f>
        <v>#N/A</v>
      </c>
      <c r="L988" t="e">
        <f>VLOOKUP(C988,'Location Data'!$C$5:$G$1004,5,FALSE)</f>
        <v>#N/A</v>
      </c>
    </row>
    <row r="989" spans="1:12" x14ac:dyDescent="0.2">
      <c r="A989">
        <f>'Shipment Data for Provisioning'!B994</f>
        <v>0</v>
      </c>
      <c r="B989">
        <f>'Shipment Data for Provisioning'!C994</f>
        <v>0</v>
      </c>
      <c r="C989">
        <f>'Shipment Data for Provisioning'!D994</f>
        <v>0</v>
      </c>
      <c r="D989">
        <f>'Shipment Data for Provisioning'!E994</f>
        <v>0</v>
      </c>
      <c r="E989">
        <f>'Shipment Data for Provisioning'!F994</f>
        <v>0</v>
      </c>
      <c r="F989">
        <f>'Shipment Data for Provisioning'!G994</f>
        <v>0</v>
      </c>
      <c r="G989">
        <f>'Shipment Data for Provisioning'!H994</f>
        <v>0</v>
      </c>
      <c r="H989">
        <f>'Shipment Data for Provisioning'!I994</f>
        <v>0</v>
      </c>
      <c r="I989" t="e">
        <f>VLOOKUP(B989,'Location Data'!$C$5:$G$1004,4,FALSE)</f>
        <v>#N/A</v>
      </c>
      <c r="J989" t="e">
        <f>VLOOKUP(B989,'Location Data'!$C$5:$G$1004,5,FALSE)</f>
        <v>#N/A</v>
      </c>
      <c r="K989" t="e">
        <f>VLOOKUP(C989,'Location Data'!$C$5:$G$1004,4,FALSE)</f>
        <v>#N/A</v>
      </c>
      <c r="L989" t="e">
        <f>VLOOKUP(C989,'Location Data'!$C$5:$G$1004,5,FALSE)</f>
        <v>#N/A</v>
      </c>
    </row>
    <row r="990" spans="1:12" x14ac:dyDescent="0.2">
      <c r="A990">
        <f>'Shipment Data for Provisioning'!B995</f>
        <v>0</v>
      </c>
      <c r="B990">
        <f>'Shipment Data for Provisioning'!C995</f>
        <v>0</v>
      </c>
      <c r="C990">
        <f>'Shipment Data for Provisioning'!D995</f>
        <v>0</v>
      </c>
      <c r="D990">
        <f>'Shipment Data for Provisioning'!E995</f>
        <v>0</v>
      </c>
      <c r="E990">
        <f>'Shipment Data for Provisioning'!F995</f>
        <v>0</v>
      </c>
      <c r="F990">
        <f>'Shipment Data for Provisioning'!G995</f>
        <v>0</v>
      </c>
      <c r="G990">
        <f>'Shipment Data for Provisioning'!H995</f>
        <v>0</v>
      </c>
      <c r="H990">
        <f>'Shipment Data for Provisioning'!I995</f>
        <v>0</v>
      </c>
      <c r="I990" t="e">
        <f>VLOOKUP(B990,'Location Data'!$C$5:$G$1004,4,FALSE)</f>
        <v>#N/A</v>
      </c>
      <c r="J990" t="e">
        <f>VLOOKUP(B990,'Location Data'!$C$5:$G$1004,5,FALSE)</f>
        <v>#N/A</v>
      </c>
      <c r="K990" t="e">
        <f>VLOOKUP(C990,'Location Data'!$C$5:$G$1004,4,FALSE)</f>
        <v>#N/A</v>
      </c>
      <c r="L990" t="e">
        <f>VLOOKUP(C990,'Location Data'!$C$5:$G$1004,5,FALSE)</f>
        <v>#N/A</v>
      </c>
    </row>
    <row r="991" spans="1:12" x14ac:dyDescent="0.2">
      <c r="A991">
        <f>'Shipment Data for Provisioning'!B996</f>
        <v>0</v>
      </c>
      <c r="B991">
        <f>'Shipment Data for Provisioning'!C996</f>
        <v>0</v>
      </c>
      <c r="C991">
        <f>'Shipment Data for Provisioning'!D996</f>
        <v>0</v>
      </c>
      <c r="D991">
        <f>'Shipment Data for Provisioning'!E996</f>
        <v>0</v>
      </c>
      <c r="E991">
        <f>'Shipment Data for Provisioning'!F996</f>
        <v>0</v>
      </c>
      <c r="F991">
        <f>'Shipment Data for Provisioning'!G996</f>
        <v>0</v>
      </c>
      <c r="G991">
        <f>'Shipment Data for Provisioning'!H996</f>
        <v>0</v>
      </c>
      <c r="H991">
        <f>'Shipment Data for Provisioning'!I996</f>
        <v>0</v>
      </c>
      <c r="I991" t="e">
        <f>VLOOKUP(B991,'Location Data'!$C$5:$G$1004,4,FALSE)</f>
        <v>#N/A</v>
      </c>
      <c r="J991" t="e">
        <f>VLOOKUP(B991,'Location Data'!$C$5:$G$1004,5,FALSE)</f>
        <v>#N/A</v>
      </c>
      <c r="K991" t="e">
        <f>VLOOKUP(C991,'Location Data'!$C$5:$G$1004,4,FALSE)</f>
        <v>#N/A</v>
      </c>
      <c r="L991" t="e">
        <f>VLOOKUP(C991,'Location Data'!$C$5:$G$1004,5,FALSE)</f>
        <v>#N/A</v>
      </c>
    </row>
    <row r="992" spans="1:12" x14ac:dyDescent="0.2">
      <c r="A992">
        <f>'Shipment Data for Provisioning'!B997</f>
        <v>0</v>
      </c>
      <c r="B992">
        <f>'Shipment Data for Provisioning'!C997</f>
        <v>0</v>
      </c>
      <c r="C992">
        <f>'Shipment Data for Provisioning'!D997</f>
        <v>0</v>
      </c>
      <c r="D992">
        <f>'Shipment Data for Provisioning'!E997</f>
        <v>0</v>
      </c>
      <c r="E992">
        <f>'Shipment Data for Provisioning'!F997</f>
        <v>0</v>
      </c>
      <c r="F992">
        <f>'Shipment Data for Provisioning'!G997</f>
        <v>0</v>
      </c>
      <c r="G992">
        <f>'Shipment Data for Provisioning'!H997</f>
        <v>0</v>
      </c>
      <c r="H992">
        <f>'Shipment Data for Provisioning'!I997</f>
        <v>0</v>
      </c>
      <c r="I992" t="e">
        <f>VLOOKUP(B992,'Location Data'!$C$5:$G$1004,4,FALSE)</f>
        <v>#N/A</v>
      </c>
      <c r="J992" t="e">
        <f>VLOOKUP(B992,'Location Data'!$C$5:$G$1004,5,FALSE)</f>
        <v>#N/A</v>
      </c>
      <c r="K992" t="e">
        <f>VLOOKUP(C992,'Location Data'!$C$5:$G$1004,4,FALSE)</f>
        <v>#N/A</v>
      </c>
      <c r="L992" t="e">
        <f>VLOOKUP(C992,'Location Data'!$C$5:$G$1004,5,FALSE)</f>
        <v>#N/A</v>
      </c>
    </row>
    <row r="993" spans="1:12" x14ac:dyDescent="0.2">
      <c r="A993">
        <f>'Shipment Data for Provisioning'!B998</f>
        <v>0</v>
      </c>
      <c r="B993">
        <f>'Shipment Data for Provisioning'!C998</f>
        <v>0</v>
      </c>
      <c r="C993">
        <f>'Shipment Data for Provisioning'!D998</f>
        <v>0</v>
      </c>
      <c r="D993">
        <f>'Shipment Data for Provisioning'!E998</f>
        <v>0</v>
      </c>
      <c r="E993">
        <f>'Shipment Data for Provisioning'!F998</f>
        <v>0</v>
      </c>
      <c r="F993">
        <f>'Shipment Data for Provisioning'!G998</f>
        <v>0</v>
      </c>
      <c r="G993">
        <f>'Shipment Data for Provisioning'!H998</f>
        <v>0</v>
      </c>
      <c r="H993">
        <f>'Shipment Data for Provisioning'!I998</f>
        <v>0</v>
      </c>
      <c r="I993" t="e">
        <f>VLOOKUP(B993,'Location Data'!$C$5:$G$1004,4,FALSE)</f>
        <v>#N/A</v>
      </c>
      <c r="J993" t="e">
        <f>VLOOKUP(B993,'Location Data'!$C$5:$G$1004,5,FALSE)</f>
        <v>#N/A</v>
      </c>
      <c r="K993" t="e">
        <f>VLOOKUP(C993,'Location Data'!$C$5:$G$1004,4,FALSE)</f>
        <v>#N/A</v>
      </c>
      <c r="L993" t="e">
        <f>VLOOKUP(C993,'Location Data'!$C$5:$G$1004,5,FALSE)</f>
        <v>#N/A</v>
      </c>
    </row>
    <row r="994" spans="1:12" x14ac:dyDescent="0.2">
      <c r="A994">
        <f>'Shipment Data for Provisioning'!B999</f>
        <v>0</v>
      </c>
      <c r="B994">
        <f>'Shipment Data for Provisioning'!C999</f>
        <v>0</v>
      </c>
      <c r="C994">
        <f>'Shipment Data for Provisioning'!D999</f>
        <v>0</v>
      </c>
      <c r="D994">
        <f>'Shipment Data for Provisioning'!E999</f>
        <v>0</v>
      </c>
      <c r="E994">
        <f>'Shipment Data for Provisioning'!F999</f>
        <v>0</v>
      </c>
      <c r="F994">
        <f>'Shipment Data for Provisioning'!G999</f>
        <v>0</v>
      </c>
      <c r="G994">
        <f>'Shipment Data for Provisioning'!H999</f>
        <v>0</v>
      </c>
      <c r="H994">
        <f>'Shipment Data for Provisioning'!I999</f>
        <v>0</v>
      </c>
      <c r="I994" t="e">
        <f>VLOOKUP(B994,'Location Data'!$C$5:$G$1004,4,FALSE)</f>
        <v>#N/A</v>
      </c>
      <c r="J994" t="e">
        <f>VLOOKUP(B994,'Location Data'!$C$5:$G$1004,5,FALSE)</f>
        <v>#N/A</v>
      </c>
      <c r="K994" t="e">
        <f>VLOOKUP(C994,'Location Data'!$C$5:$G$1004,4,FALSE)</f>
        <v>#N/A</v>
      </c>
      <c r="L994" t="e">
        <f>VLOOKUP(C994,'Location Data'!$C$5:$G$1004,5,FALSE)</f>
        <v>#N/A</v>
      </c>
    </row>
    <row r="995" spans="1:12" x14ac:dyDescent="0.2">
      <c r="A995">
        <f>'Shipment Data for Provisioning'!B1000</f>
        <v>0</v>
      </c>
      <c r="B995">
        <f>'Shipment Data for Provisioning'!C1000</f>
        <v>0</v>
      </c>
      <c r="C995">
        <f>'Shipment Data for Provisioning'!D1000</f>
        <v>0</v>
      </c>
      <c r="D995">
        <f>'Shipment Data for Provisioning'!E1000</f>
        <v>0</v>
      </c>
      <c r="E995">
        <f>'Shipment Data for Provisioning'!F1000</f>
        <v>0</v>
      </c>
      <c r="F995">
        <f>'Shipment Data for Provisioning'!G1000</f>
        <v>0</v>
      </c>
      <c r="G995">
        <f>'Shipment Data for Provisioning'!H1000</f>
        <v>0</v>
      </c>
      <c r="H995">
        <f>'Shipment Data for Provisioning'!I1000</f>
        <v>0</v>
      </c>
      <c r="I995" t="e">
        <f>VLOOKUP(B995,'Location Data'!$C$5:$G$1004,4,FALSE)</f>
        <v>#N/A</v>
      </c>
      <c r="J995" t="e">
        <f>VLOOKUP(B995,'Location Data'!$C$5:$G$1004,5,FALSE)</f>
        <v>#N/A</v>
      </c>
      <c r="K995" t="e">
        <f>VLOOKUP(C995,'Location Data'!$C$5:$G$1004,4,FALSE)</f>
        <v>#N/A</v>
      </c>
      <c r="L995" t="e">
        <f>VLOOKUP(C995,'Location Data'!$C$5:$G$1004,5,FALSE)</f>
        <v>#N/A</v>
      </c>
    </row>
    <row r="996" spans="1:12" x14ac:dyDescent="0.2">
      <c r="A996">
        <f>'Shipment Data for Provisioning'!B1001</f>
        <v>0</v>
      </c>
      <c r="B996">
        <f>'Shipment Data for Provisioning'!C1001</f>
        <v>0</v>
      </c>
      <c r="C996">
        <f>'Shipment Data for Provisioning'!D1001</f>
        <v>0</v>
      </c>
      <c r="D996">
        <f>'Shipment Data for Provisioning'!E1001</f>
        <v>0</v>
      </c>
      <c r="E996">
        <f>'Shipment Data for Provisioning'!F1001</f>
        <v>0</v>
      </c>
      <c r="F996">
        <f>'Shipment Data for Provisioning'!G1001</f>
        <v>0</v>
      </c>
      <c r="G996">
        <f>'Shipment Data for Provisioning'!H1001</f>
        <v>0</v>
      </c>
      <c r="H996">
        <f>'Shipment Data for Provisioning'!I1001</f>
        <v>0</v>
      </c>
      <c r="I996" t="e">
        <f>VLOOKUP(B996,'Location Data'!$C$5:$G$1004,4,FALSE)</f>
        <v>#N/A</v>
      </c>
      <c r="J996" t="e">
        <f>VLOOKUP(B996,'Location Data'!$C$5:$G$1004,5,FALSE)</f>
        <v>#N/A</v>
      </c>
      <c r="K996" t="e">
        <f>VLOOKUP(C996,'Location Data'!$C$5:$G$1004,4,FALSE)</f>
        <v>#N/A</v>
      </c>
      <c r="L996" t="e">
        <f>VLOOKUP(C996,'Location Data'!$C$5:$G$1004,5,FALSE)</f>
        <v>#N/A</v>
      </c>
    </row>
    <row r="997" spans="1:12" x14ac:dyDescent="0.2">
      <c r="A997">
        <f>'Shipment Data for Provisioning'!B1002</f>
        <v>0</v>
      </c>
      <c r="B997">
        <f>'Shipment Data for Provisioning'!C1002</f>
        <v>0</v>
      </c>
      <c r="C997">
        <f>'Shipment Data for Provisioning'!D1002</f>
        <v>0</v>
      </c>
      <c r="D997">
        <f>'Shipment Data for Provisioning'!E1002</f>
        <v>0</v>
      </c>
      <c r="E997">
        <f>'Shipment Data for Provisioning'!F1002</f>
        <v>0</v>
      </c>
      <c r="F997">
        <f>'Shipment Data for Provisioning'!G1002</f>
        <v>0</v>
      </c>
      <c r="G997">
        <f>'Shipment Data for Provisioning'!H1002</f>
        <v>0</v>
      </c>
      <c r="H997">
        <f>'Shipment Data for Provisioning'!I1002</f>
        <v>0</v>
      </c>
      <c r="I997" t="e">
        <f>VLOOKUP(B997,'Location Data'!$C$5:$G$1004,4,FALSE)</f>
        <v>#N/A</v>
      </c>
      <c r="J997" t="e">
        <f>VLOOKUP(B997,'Location Data'!$C$5:$G$1004,5,FALSE)</f>
        <v>#N/A</v>
      </c>
      <c r="K997" t="e">
        <f>VLOOKUP(C997,'Location Data'!$C$5:$G$1004,4,FALSE)</f>
        <v>#N/A</v>
      </c>
      <c r="L997" t="e">
        <f>VLOOKUP(C997,'Location Data'!$C$5:$G$1004,5,FALSE)</f>
        <v>#N/A</v>
      </c>
    </row>
    <row r="998" spans="1:12" x14ac:dyDescent="0.2">
      <c r="A998">
        <f>'Shipment Data for Provisioning'!B1003</f>
        <v>0</v>
      </c>
      <c r="B998">
        <f>'Shipment Data for Provisioning'!C1003</f>
        <v>0</v>
      </c>
      <c r="C998">
        <f>'Shipment Data for Provisioning'!D1003</f>
        <v>0</v>
      </c>
      <c r="D998">
        <f>'Shipment Data for Provisioning'!E1003</f>
        <v>0</v>
      </c>
      <c r="E998">
        <f>'Shipment Data for Provisioning'!F1003</f>
        <v>0</v>
      </c>
      <c r="F998">
        <f>'Shipment Data for Provisioning'!G1003</f>
        <v>0</v>
      </c>
      <c r="G998">
        <f>'Shipment Data for Provisioning'!H1003</f>
        <v>0</v>
      </c>
      <c r="H998">
        <f>'Shipment Data for Provisioning'!I1003</f>
        <v>0</v>
      </c>
      <c r="I998" t="e">
        <f>VLOOKUP(B998,'Location Data'!$C$5:$G$1004,4,FALSE)</f>
        <v>#N/A</v>
      </c>
      <c r="J998" t="e">
        <f>VLOOKUP(B998,'Location Data'!$C$5:$G$1004,5,FALSE)</f>
        <v>#N/A</v>
      </c>
      <c r="K998" t="e">
        <f>VLOOKUP(C998,'Location Data'!$C$5:$G$1004,4,FALSE)</f>
        <v>#N/A</v>
      </c>
      <c r="L998" t="e">
        <f>VLOOKUP(C998,'Location Data'!$C$5:$G$1004,5,FALSE)</f>
        <v>#N/A</v>
      </c>
    </row>
    <row r="999" spans="1:12" x14ac:dyDescent="0.2">
      <c r="A999">
        <f>'Shipment Data for Provisioning'!B1004</f>
        <v>0</v>
      </c>
      <c r="B999">
        <f>'Shipment Data for Provisioning'!C1004</f>
        <v>0</v>
      </c>
      <c r="C999">
        <f>'Shipment Data for Provisioning'!D1004</f>
        <v>0</v>
      </c>
      <c r="D999">
        <f>'Shipment Data for Provisioning'!E1004</f>
        <v>0</v>
      </c>
      <c r="E999">
        <f>'Shipment Data for Provisioning'!F1004</f>
        <v>0</v>
      </c>
      <c r="F999">
        <f>'Shipment Data for Provisioning'!G1004</f>
        <v>0</v>
      </c>
      <c r="G999">
        <f>'Shipment Data for Provisioning'!H1004</f>
        <v>0</v>
      </c>
      <c r="H999">
        <f>'Shipment Data for Provisioning'!I1004</f>
        <v>0</v>
      </c>
      <c r="I999" t="e">
        <f>VLOOKUP(B999,'Location Data'!$C$5:$G$1004,4,FALSE)</f>
        <v>#N/A</v>
      </c>
      <c r="J999" t="e">
        <f>VLOOKUP(B999,'Location Data'!$C$5:$G$1004,5,FALSE)</f>
        <v>#N/A</v>
      </c>
      <c r="K999" t="e">
        <f>VLOOKUP(C999,'Location Data'!$C$5:$G$1004,4,FALSE)</f>
        <v>#N/A</v>
      </c>
      <c r="L999" t="e">
        <f>VLOOKUP(C999,'Location Data'!$C$5:$G$1004,5,FALSE)</f>
        <v>#N/A</v>
      </c>
    </row>
    <row r="1000" spans="1:12" x14ac:dyDescent="0.2">
      <c r="A1000">
        <f>'Shipment Data for Provisioning'!B1005</f>
        <v>0</v>
      </c>
      <c r="B1000">
        <f>'Shipment Data for Provisioning'!C1005</f>
        <v>0</v>
      </c>
      <c r="C1000">
        <f>'Shipment Data for Provisioning'!D1005</f>
        <v>0</v>
      </c>
      <c r="D1000">
        <f>'Shipment Data for Provisioning'!E1005</f>
        <v>0</v>
      </c>
      <c r="E1000">
        <f>'Shipment Data for Provisioning'!F1005</f>
        <v>0</v>
      </c>
      <c r="F1000">
        <f>'Shipment Data for Provisioning'!G1005</f>
        <v>0</v>
      </c>
      <c r="G1000">
        <f>'Shipment Data for Provisioning'!H1005</f>
        <v>0</v>
      </c>
      <c r="H1000">
        <f>'Shipment Data for Provisioning'!I1005</f>
        <v>0</v>
      </c>
      <c r="I1000" t="e">
        <f>VLOOKUP(B1000,'Location Data'!$C$5:$G$1004,4,FALSE)</f>
        <v>#N/A</v>
      </c>
      <c r="J1000" t="e">
        <f>VLOOKUP(B1000,'Location Data'!$C$5:$G$1004,5,FALSE)</f>
        <v>#N/A</v>
      </c>
      <c r="K1000" t="e">
        <f>VLOOKUP(C1000,'Location Data'!$C$5:$G$1004,4,FALSE)</f>
        <v>#N/A</v>
      </c>
      <c r="L1000" t="e">
        <f>VLOOKUP(C1000,'Location Data'!$C$5:$G$1004,5,FALSE)</f>
        <v>#N/A</v>
      </c>
    </row>
    <row r="1001" spans="1:12" x14ac:dyDescent="0.2">
      <c r="A1001">
        <f>'Shipment Data for Provisioning'!B1006</f>
        <v>0</v>
      </c>
      <c r="B1001">
        <f>'Shipment Data for Provisioning'!C1006</f>
        <v>0</v>
      </c>
      <c r="C1001">
        <f>'Shipment Data for Provisioning'!D1006</f>
        <v>0</v>
      </c>
      <c r="D1001">
        <f>'Shipment Data for Provisioning'!E1006</f>
        <v>0</v>
      </c>
      <c r="E1001">
        <f>'Shipment Data for Provisioning'!F1006</f>
        <v>0</v>
      </c>
      <c r="F1001">
        <f>'Shipment Data for Provisioning'!G1006</f>
        <v>0</v>
      </c>
      <c r="G1001">
        <f>'Shipment Data for Provisioning'!H1006</f>
        <v>0</v>
      </c>
      <c r="H1001">
        <f>'Shipment Data for Provisioning'!I1006</f>
        <v>0</v>
      </c>
      <c r="I1001" t="e">
        <f>VLOOKUP(B1001,'Location Data'!$C$5:$G$1004,4,FALSE)</f>
        <v>#N/A</v>
      </c>
      <c r="J1001" t="e">
        <f>VLOOKUP(B1001,'Location Data'!$C$5:$G$1004,5,FALSE)</f>
        <v>#N/A</v>
      </c>
      <c r="K1001" t="e">
        <f>VLOOKUP(C1001,'Location Data'!$C$5:$G$1004,4,FALSE)</f>
        <v>#N/A</v>
      </c>
      <c r="L1001" t="e">
        <f>VLOOKUP(C1001,'Location Data'!$C$5:$G$1004,5,FALSE)</f>
        <v>#N/A</v>
      </c>
    </row>
    <row r="1002" spans="1:12" x14ac:dyDescent="0.2">
      <c r="A1002">
        <f>'Shipment Data for Provisioning'!B1007</f>
        <v>0</v>
      </c>
      <c r="B1002">
        <f>'Shipment Data for Provisioning'!C1007</f>
        <v>0</v>
      </c>
      <c r="C1002">
        <f>'Shipment Data for Provisioning'!D1007</f>
        <v>0</v>
      </c>
      <c r="D1002">
        <f>'Shipment Data for Provisioning'!E1007</f>
        <v>0</v>
      </c>
      <c r="E1002">
        <f>'Shipment Data for Provisioning'!F1007</f>
        <v>0</v>
      </c>
      <c r="F1002">
        <f>'Shipment Data for Provisioning'!G1007</f>
        <v>0</v>
      </c>
      <c r="G1002">
        <f>'Shipment Data for Provisioning'!H1007</f>
        <v>0</v>
      </c>
      <c r="H1002">
        <f>'Shipment Data for Provisioning'!I1007</f>
        <v>0</v>
      </c>
      <c r="I1002" t="e">
        <f>VLOOKUP(B1002,'Location Data'!$C$5:$G$1004,4,FALSE)</f>
        <v>#N/A</v>
      </c>
      <c r="J1002" t="e">
        <f>VLOOKUP(B1002,'Location Data'!$C$5:$G$1004,5,FALSE)</f>
        <v>#N/A</v>
      </c>
      <c r="K1002" t="e">
        <f>VLOOKUP(C1002,'Location Data'!$C$5:$G$1004,4,FALSE)</f>
        <v>#N/A</v>
      </c>
      <c r="L1002" t="e">
        <f>VLOOKUP(C1002,'Location Data'!$C$5:$G$1004,5,FALSE)</f>
        <v>#N/A</v>
      </c>
    </row>
    <row r="1003" spans="1:12" x14ac:dyDescent="0.2">
      <c r="A1003">
        <f>'Shipment Data for Provisioning'!B1008</f>
        <v>0</v>
      </c>
      <c r="B1003">
        <f>'Shipment Data for Provisioning'!C1008</f>
        <v>0</v>
      </c>
      <c r="C1003">
        <f>'Shipment Data for Provisioning'!D1008</f>
        <v>0</v>
      </c>
      <c r="D1003">
        <f>'Shipment Data for Provisioning'!E1008</f>
        <v>0</v>
      </c>
      <c r="E1003">
        <f>'Shipment Data for Provisioning'!F1008</f>
        <v>0</v>
      </c>
      <c r="F1003">
        <f>'Shipment Data for Provisioning'!G1008</f>
        <v>0</v>
      </c>
      <c r="G1003">
        <f>'Shipment Data for Provisioning'!H1008</f>
        <v>0</v>
      </c>
      <c r="H1003">
        <f>'Shipment Data for Provisioning'!I1008</f>
        <v>0</v>
      </c>
      <c r="I1003" t="e">
        <f>VLOOKUP(B1003,'Location Data'!$C$5:$G$1004,4,FALSE)</f>
        <v>#N/A</v>
      </c>
      <c r="J1003" t="e">
        <f>VLOOKUP(B1003,'Location Data'!$C$5:$G$1004,5,FALSE)</f>
        <v>#N/A</v>
      </c>
      <c r="K1003" t="e">
        <f>VLOOKUP(C1003,'Location Data'!$C$5:$G$1004,4,FALSE)</f>
        <v>#N/A</v>
      </c>
      <c r="L1003" t="e">
        <f>VLOOKUP(C1003,'Location Data'!$C$5:$G$1004,5,FALSE)</f>
        <v>#N/A</v>
      </c>
    </row>
    <row r="1004" spans="1:12" x14ac:dyDescent="0.2">
      <c r="A1004">
        <f>'Shipment Data for Provisioning'!B1009</f>
        <v>0</v>
      </c>
      <c r="B1004">
        <f>'Shipment Data for Provisioning'!C1009</f>
        <v>0</v>
      </c>
      <c r="C1004">
        <f>'Shipment Data for Provisioning'!D1009</f>
        <v>0</v>
      </c>
      <c r="D1004">
        <f>'Shipment Data for Provisioning'!E1009</f>
        <v>0</v>
      </c>
      <c r="E1004">
        <f>'Shipment Data for Provisioning'!F1009</f>
        <v>0</v>
      </c>
      <c r="F1004">
        <f>'Shipment Data for Provisioning'!G1009</f>
        <v>0</v>
      </c>
      <c r="G1004">
        <f>'Shipment Data for Provisioning'!H1009</f>
        <v>0</v>
      </c>
      <c r="H1004">
        <f>'Shipment Data for Provisioning'!I1009</f>
        <v>0</v>
      </c>
      <c r="I1004" t="e">
        <f>VLOOKUP(B1004,'Location Data'!$C$5:$G$1004,4,FALSE)</f>
        <v>#N/A</v>
      </c>
      <c r="J1004" t="e">
        <f>VLOOKUP(B1004,'Location Data'!$C$5:$G$1004,5,FALSE)</f>
        <v>#N/A</v>
      </c>
      <c r="K1004" t="e">
        <f>VLOOKUP(C1004,'Location Data'!$C$5:$G$1004,4,FALSE)</f>
        <v>#N/A</v>
      </c>
      <c r="L1004" t="e">
        <f>VLOOKUP(C1004,'Location Data'!$C$5:$G$1004,5,FALSE)</f>
        <v>#N/A</v>
      </c>
    </row>
    <row r="1005" spans="1:12" x14ac:dyDescent="0.2">
      <c r="A1005">
        <f>'Shipment Data for Provisioning'!B1010</f>
        <v>0</v>
      </c>
      <c r="B1005">
        <f>'Shipment Data for Provisioning'!C1010</f>
        <v>0</v>
      </c>
      <c r="C1005">
        <f>'Shipment Data for Provisioning'!D1010</f>
        <v>0</v>
      </c>
      <c r="D1005">
        <f>'Shipment Data for Provisioning'!E1010</f>
        <v>0</v>
      </c>
      <c r="E1005">
        <f>'Shipment Data for Provisioning'!F1010</f>
        <v>0</v>
      </c>
      <c r="F1005">
        <f>'Shipment Data for Provisioning'!G1010</f>
        <v>0</v>
      </c>
      <c r="G1005">
        <f>'Shipment Data for Provisioning'!H1010</f>
        <v>0</v>
      </c>
      <c r="H1005">
        <f>'Shipment Data for Provisioning'!I1010</f>
        <v>0</v>
      </c>
      <c r="I1005" t="e">
        <f>VLOOKUP(B1005,'Location Data'!$C$5:$G$1004,4,FALSE)</f>
        <v>#N/A</v>
      </c>
      <c r="J1005" t="e">
        <f>VLOOKUP(B1005,'Location Data'!$C$5:$G$1004,5,FALSE)</f>
        <v>#N/A</v>
      </c>
      <c r="K1005" t="e">
        <f>VLOOKUP(C1005,'Location Data'!$C$5:$G$1004,4,FALSE)</f>
        <v>#N/A</v>
      </c>
      <c r="L1005" t="e">
        <f>VLOOKUP(C1005,'Location Data'!$C$5:$G$1004,5,FALSE)</f>
        <v>#N/A</v>
      </c>
    </row>
    <row r="1006" spans="1:12" x14ac:dyDescent="0.2">
      <c r="A1006">
        <f>'Shipment Data for Provisioning'!B1011</f>
        <v>0</v>
      </c>
      <c r="B1006">
        <f>'Shipment Data for Provisioning'!C1011</f>
        <v>0</v>
      </c>
      <c r="C1006">
        <f>'Shipment Data for Provisioning'!D1011</f>
        <v>0</v>
      </c>
      <c r="D1006">
        <f>'Shipment Data for Provisioning'!E1011</f>
        <v>0</v>
      </c>
      <c r="E1006">
        <f>'Shipment Data for Provisioning'!F1011</f>
        <v>0</v>
      </c>
      <c r="F1006">
        <f>'Shipment Data for Provisioning'!G1011</f>
        <v>0</v>
      </c>
      <c r="G1006">
        <f>'Shipment Data for Provisioning'!H1011</f>
        <v>0</v>
      </c>
      <c r="H1006">
        <f>'Shipment Data for Provisioning'!I1011</f>
        <v>0</v>
      </c>
      <c r="I1006" t="e">
        <f>VLOOKUP(B1006,'Location Data'!$C$5:$G$1004,4,FALSE)</f>
        <v>#N/A</v>
      </c>
      <c r="J1006" t="e">
        <f>VLOOKUP(B1006,'Location Data'!$C$5:$G$1004,5,FALSE)</f>
        <v>#N/A</v>
      </c>
      <c r="K1006" t="e">
        <f>VLOOKUP(C1006,'Location Data'!$C$5:$G$1004,4,FALSE)</f>
        <v>#N/A</v>
      </c>
      <c r="L1006" t="e">
        <f>VLOOKUP(C1006,'Location Data'!$C$5:$G$1004,5,FALSE)</f>
        <v>#N/A</v>
      </c>
    </row>
    <row r="1007" spans="1:12" x14ac:dyDescent="0.2">
      <c r="A1007">
        <f>'Shipment Data for Provisioning'!B1012</f>
        <v>0</v>
      </c>
      <c r="B1007">
        <f>'Shipment Data for Provisioning'!C1012</f>
        <v>0</v>
      </c>
      <c r="C1007">
        <f>'Shipment Data for Provisioning'!D1012</f>
        <v>0</v>
      </c>
      <c r="D1007">
        <f>'Shipment Data for Provisioning'!E1012</f>
        <v>0</v>
      </c>
      <c r="E1007">
        <f>'Shipment Data for Provisioning'!F1012</f>
        <v>0</v>
      </c>
      <c r="F1007">
        <f>'Shipment Data for Provisioning'!G1012</f>
        <v>0</v>
      </c>
      <c r="G1007">
        <f>'Shipment Data for Provisioning'!H1012</f>
        <v>0</v>
      </c>
      <c r="H1007">
        <f>'Shipment Data for Provisioning'!I1012</f>
        <v>0</v>
      </c>
      <c r="I1007" t="e">
        <f>VLOOKUP(B1007,'Location Data'!$C$5:$G$1004,4,FALSE)</f>
        <v>#N/A</v>
      </c>
      <c r="J1007" t="e">
        <f>VLOOKUP(B1007,'Location Data'!$C$5:$G$1004,5,FALSE)</f>
        <v>#N/A</v>
      </c>
      <c r="K1007" t="e">
        <f>VLOOKUP(C1007,'Location Data'!$C$5:$G$1004,4,FALSE)</f>
        <v>#N/A</v>
      </c>
      <c r="L1007" t="e">
        <f>VLOOKUP(C1007,'Location Data'!$C$5:$G$1004,5,FALSE)</f>
        <v>#N/A</v>
      </c>
    </row>
    <row r="1008" spans="1:12" x14ac:dyDescent="0.2">
      <c r="A1008">
        <f>'Shipment Data for Provisioning'!B1013</f>
        <v>0</v>
      </c>
      <c r="B1008">
        <f>'Shipment Data for Provisioning'!C1013</f>
        <v>0</v>
      </c>
      <c r="C1008">
        <f>'Shipment Data for Provisioning'!D1013</f>
        <v>0</v>
      </c>
      <c r="D1008">
        <f>'Shipment Data for Provisioning'!E1013</f>
        <v>0</v>
      </c>
      <c r="E1008">
        <f>'Shipment Data for Provisioning'!F1013</f>
        <v>0</v>
      </c>
      <c r="F1008">
        <f>'Shipment Data for Provisioning'!G1013</f>
        <v>0</v>
      </c>
      <c r="G1008">
        <f>'Shipment Data for Provisioning'!H1013</f>
        <v>0</v>
      </c>
      <c r="H1008">
        <f>'Shipment Data for Provisioning'!I1013</f>
        <v>0</v>
      </c>
      <c r="I1008" t="e">
        <f>VLOOKUP(B1008,'Location Data'!$C$5:$G$1004,4,FALSE)</f>
        <v>#N/A</v>
      </c>
      <c r="J1008" t="e">
        <f>VLOOKUP(B1008,'Location Data'!$C$5:$G$1004,5,FALSE)</f>
        <v>#N/A</v>
      </c>
      <c r="K1008" t="e">
        <f>VLOOKUP(C1008,'Location Data'!$C$5:$G$1004,4,FALSE)</f>
        <v>#N/A</v>
      </c>
      <c r="L1008" t="e">
        <f>VLOOKUP(C1008,'Location Data'!$C$5:$G$1004,5,FALSE)</f>
        <v>#N/A</v>
      </c>
    </row>
    <row r="1009" spans="1:12" x14ac:dyDescent="0.2">
      <c r="A1009">
        <f>'Shipment Data for Provisioning'!B1014</f>
        <v>0</v>
      </c>
      <c r="B1009">
        <f>'Shipment Data for Provisioning'!C1014</f>
        <v>0</v>
      </c>
      <c r="C1009">
        <f>'Shipment Data for Provisioning'!D1014</f>
        <v>0</v>
      </c>
      <c r="D1009">
        <f>'Shipment Data for Provisioning'!E1014</f>
        <v>0</v>
      </c>
      <c r="E1009">
        <f>'Shipment Data for Provisioning'!F1014</f>
        <v>0</v>
      </c>
      <c r="F1009">
        <f>'Shipment Data for Provisioning'!G1014</f>
        <v>0</v>
      </c>
      <c r="G1009">
        <f>'Shipment Data for Provisioning'!H1014</f>
        <v>0</v>
      </c>
      <c r="H1009">
        <f>'Shipment Data for Provisioning'!I1014</f>
        <v>0</v>
      </c>
      <c r="I1009" t="e">
        <f>VLOOKUP(B1009,'Location Data'!$C$5:$G$1004,4,FALSE)</f>
        <v>#N/A</v>
      </c>
      <c r="J1009" t="e">
        <f>VLOOKUP(B1009,'Location Data'!$C$5:$G$1004,5,FALSE)</f>
        <v>#N/A</v>
      </c>
      <c r="K1009" t="e">
        <f>VLOOKUP(C1009,'Location Data'!$C$5:$G$1004,4,FALSE)</f>
        <v>#N/A</v>
      </c>
      <c r="L1009" t="e">
        <f>VLOOKUP(C1009,'Location Data'!$C$5:$G$1004,5,FALSE)</f>
        <v>#N/A</v>
      </c>
    </row>
    <row r="1010" spans="1:12" x14ac:dyDescent="0.2">
      <c r="A1010">
        <f>'Shipment Data for Provisioning'!B1015</f>
        <v>0</v>
      </c>
      <c r="B1010">
        <f>'Shipment Data for Provisioning'!C1015</f>
        <v>0</v>
      </c>
      <c r="C1010">
        <f>'Shipment Data for Provisioning'!D1015</f>
        <v>0</v>
      </c>
      <c r="D1010">
        <f>'Shipment Data for Provisioning'!E1015</f>
        <v>0</v>
      </c>
      <c r="E1010">
        <f>'Shipment Data for Provisioning'!F1015</f>
        <v>0</v>
      </c>
      <c r="F1010">
        <f>'Shipment Data for Provisioning'!G1015</f>
        <v>0</v>
      </c>
      <c r="G1010">
        <f>'Shipment Data for Provisioning'!H1015</f>
        <v>0</v>
      </c>
      <c r="H1010">
        <f>'Shipment Data for Provisioning'!I1015</f>
        <v>0</v>
      </c>
      <c r="I1010" t="e">
        <f>VLOOKUP(B1010,'Location Data'!$C$5:$G$1004,4,FALSE)</f>
        <v>#N/A</v>
      </c>
      <c r="J1010" t="e">
        <f>VLOOKUP(B1010,'Location Data'!$C$5:$G$1004,5,FALSE)</f>
        <v>#N/A</v>
      </c>
      <c r="K1010" t="e">
        <f>VLOOKUP(C1010,'Location Data'!$C$5:$G$1004,4,FALSE)</f>
        <v>#N/A</v>
      </c>
      <c r="L1010" t="e">
        <f>VLOOKUP(C1010,'Location Data'!$C$5:$G$1004,5,FALSE)</f>
        <v>#N/A</v>
      </c>
    </row>
    <row r="1011" spans="1:12" x14ac:dyDescent="0.2">
      <c r="A1011">
        <f>'Shipment Data for Provisioning'!B1016</f>
        <v>0</v>
      </c>
      <c r="B1011">
        <f>'Shipment Data for Provisioning'!C1016</f>
        <v>0</v>
      </c>
      <c r="C1011">
        <f>'Shipment Data for Provisioning'!D1016</f>
        <v>0</v>
      </c>
      <c r="D1011">
        <f>'Shipment Data for Provisioning'!E1016</f>
        <v>0</v>
      </c>
      <c r="E1011">
        <f>'Shipment Data for Provisioning'!F1016</f>
        <v>0</v>
      </c>
      <c r="F1011">
        <f>'Shipment Data for Provisioning'!G1016</f>
        <v>0</v>
      </c>
      <c r="G1011">
        <f>'Shipment Data for Provisioning'!H1016</f>
        <v>0</v>
      </c>
      <c r="H1011">
        <f>'Shipment Data for Provisioning'!I1016</f>
        <v>0</v>
      </c>
      <c r="I1011" t="e">
        <f>VLOOKUP(B1011,'Location Data'!$C$5:$G$1004,4,FALSE)</f>
        <v>#N/A</v>
      </c>
      <c r="J1011" t="e">
        <f>VLOOKUP(B1011,'Location Data'!$C$5:$G$1004,5,FALSE)</f>
        <v>#N/A</v>
      </c>
      <c r="K1011" t="e">
        <f>VLOOKUP(C1011,'Location Data'!$C$5:$G$1004,4,FALSE)</f>
        <v>#N/A</v>
      </c>
      <c r="L1011" t="e">
        <f>VLOOKUP(C1011,'Location Data'!$C$5:$G$1004,5,FALSE)</f>
        <v>#N/A</v>
      </c>
    </row>
    <row r="1012" spans="1:12" x14ac:dyDescent="0.2">
      <c r="A1012">
        <f>'Shipment Data for Provisioning'!B1017</f>
        <v>0</v>
      </c>
      <c r="B1012">
        <f>'Shipment Data for Provisioning'!C1017</f>
        <v>0</v>
      </c>
      <c r="C1012">
        <f>'Shipment Data for Provisioning'!D1017</f>
        <v>0</v>
      </c>
      <c r="D1012">
        <f>'Shipment Data for Provisioning'!E1017</f>
        <v>0</v>
      </c>
      <c r="E1012">
        <f>'Shipment Data for Provisioning'!F1017</f>
        <v>0</v>
      </c>
      <c r="F1012">
        <f>'Shipment Data for Provisioning'!G1017</f>
        <v>0</v>
      </c>
      <c r="G1012">
        <f>'Shipment Data for Provisioning'!H1017</f>
        <v>0</v>
      </c>
      <c r="H1012">
        <f>'Shipment Data for Provisioning'!I1017</f>
        <v>0</v>
      </c>
      <c r="I1012" t="e">
        <f>VLOOKUP(B1012,'Location Data'!$C$5:$G$1004,4,FALSE)</f>
        <v>#N/A</v>
      </c>
      <c r="J1012" t="e">
        <f>VLOOKUP(B1012,'Location Data'!$C$5:$G$1004,5,FALSE)</f>
        <v>#N/A</v>
      </c>
      <c r="K1012" t="e">
        <f>VLOOKUP(C1012,'Location Data'!$C$5:$G$1004,4,FALSE)</f>
        <v>#N/A</v>
      </c>
      <c r="L1012" t="e">
        <f>VLOOKUP(C1012,'Location Data'!$C$5:$G$1004,5,FALSE)</f>
        <v>#N/A</v>
      </c>
    </row>
    <row r="1013" spans="1:12" x14ac:dyDescent="0.2">
      <c r="A1013">
        <f>'Shipment Data for Provisioning'!B1018</f>
        <v>0</v>
      </c>
      <c r="B1013">
        <f>'Shipment Data for Provisioning'!C1018</f>
        <v>0</v>
      </c>
      <c r="C1013">
        <f>'Shipment Data for Provisioning'!D1018</f>
        <v>0</v>
      </c>
      <c r="D1013">
        <f>'Shipment Data for Provisioning'!E1018</f>
        <v>0</v>
      </c>
      <c r="E1013">
        <f>'Shipment Data for Provisioning'!F1018</f>
        <v>0</v>
      </c>
      <c r="F1013">
        <f>'Shipment Data for Provisioning'!G1018</f>
        <v>0</v>
      </c>
      <c r="G1013">
        <f>'Shipment Data for Provisioning'!H1018</f>
        <v>0</v>
      </c>
      <c r="H1013">
        <f>'Shipment Data for Provisioning'!I1018</f>
        <v>0</v>
      </c>
      <c r="I1013" t="e">
        <f>VLOOKUP(B1013,'Location Data'!$C$5:$G$1004,4,FALSE)</f>
        <v>#N/A</v>
      </c>
      <c r="J1013" t="e">
        <f>VLOOKUP(B1013,'Location Data'!$C$5:$G$1004,5,FALSE)</f>
        <v>#N/A</v>
      </c>
      <c r="K1013" t="e">
        <f>VLOOKUP(C1013,'Location Data'!$C$5:$G$1004,4,FALSE)</f>
        <v>#N/A</v>
      </c>
      <c r="L1013" t="e">
        <f>VLOOKUP(C1013,'Location Data'!$C$5:$G$1004,5,FALSE)</f>
        <v>#N/A</v>
      </c>
    </row>
    <row r="1014" spans="1:12" x14ac:dyDescent="0.2">
      <c r="A1014">
        <f>'Shipment Data for Provisioning'!B1019</f>
        <v>0</v>
      </c>
      <c r="B1014">
        <f>'Shipment Data for Provisioning'!C1019</f>
        <v>0</v>
      </c>
      <c r="C1014">
        <f>'Shipment Data for Provisioning'!D1019</f>
        <v>0</v>
      </c>
      <c r="D1014">
        <f>'Shipment Data for Provisioning'!E1019</f>
        <v>0</v>
      </c>
      <c r="E1014">
        <f>'Shipment Data for Provisioning'!F1019</f>
        <v>0</v>
      </c>
      <c r="F1014">
        <f>'Shipment Data for Provisioning'!G1019</f>
        <v>0</v>
      </c>
      <c r="G1014">
        <f>'Shipment Data for Provisioning'!H1019</f>
        <v>0</v>
      </c>
      <c r="H1014">
        <f>'Shipment Data for Provisioning'!I1019</f>
        <v>0</v>
      </c>
      <c r="I1014" t="e">
        <f>VLOOKUP(B1014,'Location Data'!$C$5:$G$1004,4,FALSE)</f>
        <v>#N/A</v>
      </c>
      <c r="J1014" t="e">
        <f>VLOOKUP(B1014,'Location Data'!$C$5:$G$1004,5,FALSE)</f>
        <v>#N/A</v>
      </c>
      <c r="K1014" t="e">
        <f>VLOOKUP(C1014,'Location Data'!$C$5:$G$1004,4,FALSE)</f>
        <v>#N/A</v>
      </c>
      <c r="L1014" t="e">
        <f>VLOOKUP(C1014,'Location Data'!$C$5:$G$1004,5,FALSE)</f>
        <v>#N/A</v>
      </c>
    </row>
    <row r="1015" spans="1:12" x14ac:dyDescent="0.2">
      <c r="A1015">
        <f>'Shipment Data for Provisioning'!B1020</f>
        <v>0</v>
      </c>
      <c r="B1015">
        <f>'Shipment Data for Provisioning'!C1020</f>
        <v>0</v>
      </c>
      <c r="C1015">
        <f>'Shipment Data for Provisioning'!D1020</f>
        <v>0</v>
      </c>
      <c r="D1015">
        <f>'Shipment Data for Provisioning'!E1020</f>
        <v>0</v>
      </c>
      <c r="E1015">
        <f>'Shipment Data for Provisioning'!F1020</f>
        <v>0</v>
      </c>
      <c r="F1015">
        <f>'Shipment Data for Provisioning'!G1020</f>
        <v>0</v>
      </c>
      <c r="G1015">
        <f>'Shipment Data for Provisioning'!H1020</f>
        <v>0</v>
      </c>
      <c r="H1015">
        <f>'Shipment Data for Provisioning'!I1020</f>
        <v>0</v>
      </c>
      <c r="I1015" t="e">
        <f>VLOOKUP(B1015,'Location Data'!$C$5:$G$1004,4,FALSE)</f>
        <v>#N/A</v>
      </c>
      <c r="J1015" t="e">
        <f>VLOOKUP(B1015,'Location Data'!$C$5:$G$1004,5,FALSE)</f>
        <v>#N/A</v>
      </c>
      <c r="K1015" t="e">
        <f>VLOOKUP(C1015,'Location Data'!$C$5:$G$1004,4,FALSE)</f>
        <v>#N/A</v>
      </c>
      <c r="L1015" t="e">
        <f>VLOOKUP(C1015,'Location Data'!$C$5:$G$1004,5,FALSE)</f>
        <v>#N/A</v>
      </c>
    </row>
    <row r="1016" spans="1:12" x14ac:dyDescent="0.2">
      <c r="A1016">
        <f>'Shipment Data for Provisioning'!B1021</f>
        <v>0</v>
      </c>
      <c r="B1016">
        <f>'Shipment Data for Provisioning'!C1021</f>
        <v>0</v>
      </c>
      <c r="C1016">
        <f>'Shipment Data for Provisioning'!D1021</f>
        <v>0</v>
      </c>
      <c r="D1016">
        <f>'Shipment Data for Provisioning'!E1021</f>
        <v>0</v>
      </c>
      <c r="E1016">
        <f>'Shipment Data for Provisioning'!F1021</f>
        <v>0</v>
      </c>
      <c r="F1016">
        <f>'Shipment Data for Provisioning'!G1021</f>
        <v>0</v>
      </c>
      <c r="G1016">
        <f>'Shipment Data for Provisioning'!H1021</f>
        <v>0</v>
      </c>
      <c r="H1016">
        <f>'Shipment Data for Provisioning'!I1021</f>
        <v>0</v>
      </c>
      <c r="I1016" t="e">
        <f>VLOOKUP(B1016,'Location Data'!$C$5:$G$1004,4,FALSE)</f>
        <v>#N/A</v>
      </c>
      <c r="J1016" t="e">
        <f>VLOOKUP(B1016,'Location Data'!$C$5:$G$1004,5,FALSE)</f>
        <v>#N/A</v>
      </c>
      <c r="K1016" t="e">
        <f>VLOOKUP(C1016,'Location Data'!$C$5:$G$1004,4,FALSE)</f>
        <v>#N/A</v>
      </c>
      <c r="L1016" t="e">
        <f>VLOOKUP(C1016,'Location Data'!$C$5:$G$1004,5,FALSE)</f>
        <v>#N/A</v>
      </c>
    </row>
    <row r="1017" spans="1:12" x14ac:dyDescent="0.2">
      <c r="A1017">
        <f>'Shipment Data for Provisioning'!B1022</f>
        <v>0</v>
      </c>
      <c r="B1017">
        <f>'Shipment Data for Provisioning'!C1022</f>
        <v>0</v>
      </c>
      <c r="C1017">
        <f>'Shipment Data for Provisioning'!D1022</f>
        <v>0</v>
      </c>
      <c r="D1017">
        <f>'Shipment Data for Provisioning'!E1022</f>
        <v>0</v>
      </c>
      <c r="E1017">
        <f>'Shipment Data for Provisioning'!F1022</f>
        <v>0</v>
      </c>
      <c r="F1017">
        <f>'Shipment Data for Provisioning'!G1022</f>
        <v>0</v>
      </c>
      <c r="G1017">
        <f>'Shipment Data for Provisioning'!H1022</f>
        <v>0</v>
      </c>
      <c r="H1017">
        <f>'Shipment Data for Provisioning'!I1022</f>
        <v>0</v>
      </c>
      <c r="I1017" t="e">
        <f>VLOOKUP(B1017,'Location Data'!$C$5:$G$1004,4,FALSE)</f>
        <v>#N/A</v>
      </c>
      <c r="J1017" t="e">
        <f>VLOOKUP(B1017,'Location Data'!$C$5:$G$1004,5,FALSE)</f>
        <v>#N/A</v>
      </c>
      <c r="K1017" t="e">
        <f>VLOOKUP(C1017,'Location Data'!$C$5:$G$1004,4,FALSE)</f>
        <v>#N/A</v>
      </c>
      <c r="L1017" t="e">
        <f>VLOOKUP(C1017,'Location Data'!$C$5:$G$1004,5,FALSE)</f>
        <v>#N/A</v>
      </c>
    </row>
    <row r="1018" spans="1:12" x14ac:dyDescent="0.2">
      <c r="A1018">
        <f>'Shipment Data for Provisioning'!B1023</f>
        <v>0</v>
      </c>
      <c r="B1018">
        <f>'Shipment Data for Provisioning'!C1023</f>
        <v>0</v>
      </c>
      <c r="C1018">
        <f>'Shipment Data for Provisioning'!D1023</f>
        <v>0</v>
      </c>
      <c r="D1018">
        <f>'Shipment Data for Provisioning'!E1023</f>
        <v>0</v>
      </c>
      <c r="E1018">
        <f>'Shipment Data for Provisioning'!F1023</f>
        <v>0</v>
      </c>
      <c r="F1018">
        <f>'Shipment Data for Provisioning'!G1023</f>
        <v>0</v>
      </c>
      <c r="G1018">
        <f>'Shipment Data for Provisioning'!H1023</f>
        <v>0</v>
      </c>
      <c r="H1018">
        <f>'Shipment Data for Provisioning'!I1023</f>
        <v>0</v>
      </c>
      <c r="I1018" t="e">
        <f>VLOOKUP(B1018,'Location Data'!$C$5:$G$1004,4,FALSE)</f>
        <v>#N/A</v>
      </c>
      <c r="J1018" t="e">
        <f>VLOOKUP(B1018,'Location Data'!$C$5:$G$1004,5,FALSE)</f>
        <v>#N/A</v>
      </c>
      <c r="K1018" t="e">
        <f>VLOOKUP(C1018,'Location Data'!$C$5:$G$1004,4,FALSE)</f>
        <v>#N/A</v>
      </c>
      <c r="L1018" t="e">
        <f>VLOOKUP(C1018,'Location Data'!$C$5:$G$1004,5,FALSE)</f>
        <v>#N/A</v>
      </c>
    </row>
    <row r="1019" spans="1:12" x14ac:dyDescent="0.2">
      <c r="A1019">
        <f>'Shipment Data for Provisioning'!B1024</f>
        <v>0</v>
      </c>
      <c r="B1019">
        <f>'Shipment Data for Provisioning'!C1024</f>
        <v>0</v>
      </c>
      <c r="C1019">
        <f>'Shipment Data for Provisioning'!D1024</f>
        <v>0</v>
      </c>
      <c r="D1019">
        <f>'Shipment Data for Provisioning'!E1024</f>
        <v>0</v>
      </c>
      <c r="E1019">
        <f>'Shipment Data for Provisioning'!F1024</f>
        <v>0</v>
      </c>
      <c r="F1019">
        <f>'Shipment Data for Provisioning'!G1024</f>
        <v>0</v>
      </c>
      <c r="G1019">
        <f>'Shipment Data for Provisioning'!H1024</f>
        <v>0</v>
      </c>
      <c r="H1019">
        <f>'Shipment Data for Provisioning'!I1024</f>
        <v>0</v>
      </c>
      <c r="I1019" t="e">
        <f>VLOOKUP(B1019,'Location Data'!$C$5:$G$1004,4,FALSE)</f>
        <v>#N/A</v>
      </c>
      <c r="J1019" t="e">
        <f>VLOOKUP(B1019,'Location Data'!$C$5:$G$1004,5,FALSE)</f>
        <v>#N/A</v>
      </c>
      <c r="K1019" t="e">
        <f>VLOOKUP(C1019,'Location Data'!$C$5:$G$1004,4,FALSE)</f>
        <v>#N/A</v>
      </c>
      <c r="L1019" t="e">
        <f>VLOOKUP(C1019,'Location Data'!$C$5:$G$1004,5,FALSE)</f>
        <v>#N/A</v>
      </c>
    </row>
    <row r="1020" spans="1:12" x14ac:dyDescent="0.2">
      <c r="A1020">
        <f>'Shipment Data for Provisioning'!B1025</f>
        <v>0</v>
      </c>
      <c r="B1020">
        <f>'Shipment Data for Provisioning'!C1025</f>
        <v>0</v>
      </c>
      <c r="C1020">
        <f>'Shipment Data for Provisioning'!D1025</f>
        <v>0</v>
      </c>
      <c r="D1020">
        <f>'Shipment Data for Provisioning'!E1025</f>
        <v>0</v>
      </c>
      <c r="E1020">
        <f>'Shipment Data for Provisioning'!F1025</f>
        <v>0</v>
      </c>
      <c r="F1020">
        <f>'Shipment Data for Provisioning'!G1025</f>
        <v>0</v>
      </c>
      <c r="G1020">
        <f>'Shipment Data for Provisioning'!H1025</f>
        <v>0</v>
      </c>
      <c r="H1020">
        <f>'Shipment Data for Provisioning'!I1025</f>
        <v>0</v>
      </c>
      <c r="I1020" t="e">
        <f>VLOOKUP(B1020,'Location Data'!$C$5:$G$1004,4,FALSE)</f>
        <v>#N/A</v>
      </c>
      <c r="J1020" t="e">
        <f>VLOOKUP(B1020,'Location Data'!$C$5:$G$1004,5,FALSE)</f>
        <v>#N/A</v>
      </c>
      <c r="K1020" t="e">
        <f>VLOOKUP(C1020,'Location Data'!$C$5:$G$1004,4,FALSE)</f>
        <v>#N/A</v>
      </c>
      <c r="L1020" t="e">
        <f>VLOOKUP(C1020,'Location Data'!$C$5:$G$1004,5,FALSE)</f>
        <v>#N/A</v>
      </c>
    </row>
    <row r="1021" spans="1:12" x14ac:dyDescent="0.2">
      <c r="A1021">
        <f>'Shipment Data for Provisioning'!B1026</f>
        <v>0</v>
      </c>
      <c r="B1021">
        <f>'Shipment Data for Provisioning'!C1026</f>
        <v>0</v>
      </c>
      <c r="C1021">
        <f>'Shipment Data for Provisioning'!D1026</f>
        <v>0</v>
      </c>
      <c r="D1021">
        <f>'Shipment Data for Provisioning'!E1026</f>
        <v>0</v>
      </c>
      <c r="E1021">
        <f>'Shipment Data for Provisioning'!F1026</f>
        <v>0</v>
      </c>
      <c r="F1021">
        <f>'Shipment Data for Provisioning'!G1026</f>
        <v>0</v>
      </c>
      <c r="G1021">
        <f>'Shipment Data for Provisioning'!H1026</f>
        <v>0</v>
      </c>
      <c r="H1021">
        <f>'Shipment Data for Provisioning'!I1026</f>
        <v>0</v>
      </c>
      <c r="I1021" t="e">
        <f>VLOOKUP(B1021,'Location Data'!$C$5:$G$1004,4,FALSE)</f>
        <v>#N/A</v>
      </c>
      <c r="J1021" t="e">
        <f>VLOOKUP(B1021,'Location Data'!$C$5:$G$1004,5,FALSE)</f>
        <v>#N/A</v>
      </c>
      <c r="K1021" t="e">
        <f>VLOOKUP(C1021,'Location Data'!$C$5:$G$1004,4,FALSE)</f>
        <v>#N/A</v>
      </c>
      <c r="L1021" t="e">
        <f>VLOOKUP(C1021,'Location Data'!$C$5:$G$1004,5,FALSE)</f>
        <v>#N/A</v>
      </c>
    </row>
    <row r="1022" spans="1:12" x14ac:dyDescent="0.2">
      <c r="A1022">
        <f>'Shipment Data for Provisioning'!B1027</f>
        <v>0</v>
      </c>
      <c r="B1022">
        <f>'Shipment Data for Provisioning'!C1027</f>
        <v>0</v>
      </c>
      <c r="C1022">
        <f>'Shipment Data for Provisioning'!D1027</f>
        <v>0</v>
      </c>
      <c r="D1022">
        <f>'Shipment Data for Provisioning'!E1027</f>
        <v>0</v>
      </c>
      <c r="E1022">
        <f>'Shipment Data for Provisioning'!F1027</f>
        <v>0</v>
      </c>
      <c r="F1022">
        <f>'Shipment Data for Provisioning'!G1027</f>
        <v>0</v>
      </c>
      <c r="G1022">
        <f>'Shipment Data for Provisioning'!H1027</f>
        <v>0</v>
      </c>
      <c r="H1022">
        <f>'Shipment Data for Provisioning'!I1027</f>
        <v>0</v>
      </c>
      <c r="I1022" t="e">
        <f>VLOOKUP(B1022,'Location Data'!$C$5:$G$1004,4,FALSE)</f>
        <v>#N/A</v>
      </c>
      <c r="J1022" t="e">
        <f>VLOOKUP(B1022,'Location Data'!$C$5:$G$1004,5,FALSE)</f>
        <v>#N/A</v>
      </c>
      <c r="K1022" t="e">
        <f>VLOOKUP(C1022,'Location Data'!$C$5:$G$1004,4,FALSE)</f>
        <v>#N/A</v>
      </c>
      <c r="L1022" t="e">
        <f>VLOOKUP(C1022,'Location Data'!$C$5:$G$1004,5,FALSE)</f>
        <v>#N/A</v>
      </c>
    </row>
    <row r="1023" spans="1:12" x14ac:dyDescent="0.2">
      <c r="A1023">
        <f>'Shipment Data for Provisioning'!B1028</f>
        <v>0</v>
      </c>
      <c r="B1023">
        <f>'Shipment Data for Provisioning'!C1028</f>
        <v>0</v>
      </c>
      <c r="C1023">
        <f>'Shipment Data for Provisioning'!D1028</f>
        <v>0</v>
      </c>
      <c r="D1023">
        <f>'Shipment Data for Provisioning'!E1028</f>
        <v>0</v>
      </c>
      <c r="E1023">
        <f>'Shipment Data for Provisioning'!F1028</f>
        <v>0</v>
      </c>
      <c r="F1023">
        <f>'Shipment Data for Provisioning'!G1028</f>
        <v>0</v>
      </c>
      <c r="G1023">
        <f>'Shipment Data for Provisioning'!H1028</f>
        <v>0</v>
      </c>
      <c r="H1023">
        <f>'Shipment Data for Provisioning'!I1028</f>
        <v>0</v>
      </c>
      <c r="I1023" t="e">
        <f>VLOOKUP(B1023,'Location Data'!$C$5:$G$1004,4,FALSE)</f>
        <v>#N/A</v>
      </c>
      <c r="J1023" t="e">
        <f>VLOOKUP(B1023,'Location Data'!$C$5:$G$1004,5,FALSE)</f>
        <v>#N/A</v>
      </c>
      <c r="K1023" t="e">
        <f>VLOOKUP(C1023,'Location Data'!$C$5:$G$1004,4,FALSE)</f>
        <v>#N/A</v>
      </c>
      <c r="L1023" t="e">
        <f>VLOOKUP(C1023,'Location Data'!$C$5:$G$1004,5,FALSE)</f>
        <v>#N/A</v>
      </c>
    </row>
    <row r="1024" spans="1:12" x14ac:dyDescent="0.2">
      <c r="A1024">
        <f>'Shipment Data for Provisioning'!B1029</f>
        <v>0</v>
      </c>
      <c r="B1024">
        <f>'Shipment Data for Provisioning'!C1029</f>
        <v>0</v>
      </c>
      <c r="C1024">
        <f>'Shipment Data for Provisioning'!D1029</f>
        <v>0</v>
      </c>
      <c r="D1024">
        <f>'Shipment Data for Provisioning'!E1029</f>
        <v>0</v>
      </c>
      <c r="E1024">
        <f>'Shipment Data for Provisioning'!F1029</f>
        <v>0</v>
      </c>
      <c r="F1024">
        <f>'Shipment Data for Provisioning'!G1029</f>
        <v>0</v>
      </c>
      <c r="G1024">
        <f>'Shipment Data for Provisioning'!H1029</f>
        <v>0</v>
      </c>
      <c r="H1024">
        <f>'Shipment Data for Provisioning'!I1029</f>
        <v>0</v>
      </c>
      <c r="I1024" t="e">
        <f>VLOOKUP(B1024,'Location Data'!$C$5:$G$1004,4,FALSE)</f>
        <v>#N/A</v>
      </c>
      <c r="J1024" t="e">
        <f>VLOOKUP(B1024,'Location Data'!$C$5:$G$1004,5,FALSE)</f>
        <v>#N/A</v>
      </c>
      <c r="K1024" t="e">
        <f>VLOOKUP(C1024,'Location Data'!$C$5:$G$1004,4,FALSE)</f>
        <v>#N/A</v>
      </c>
      <c r="L1024" t="e">
        <f>VLOOKUP(C1024,'Location Data'!$C$5:$G$1004,5,FALSE)</f>
        <v>#N/A</v>
      </c>
    </row>
    <row r="1025" spans="1:12" x14ac:dyDescent="0.2">
      <c r="A1025">
        <f>'Shipment Data for Provisioning'!B1030</f>
        <v>0</v>
      </c>
      <c r="B1025">
        <f>'Shipment Data for Provisioning'!C1030</f>
        <v>0</v>
      </c>
      <c r="C1025">
        <f>'Shipment Data for Provisioning'!D1030</f>
        <v>0</v>
      </c>
      <c r="D1025">
        <f>'Shipment Data for Provisioning'!E1030</f>
        <v>0</v>
      </c>
      <c r="E1025">
        <f>'Shipment Data for Provisioning'!F1030</f>
        <v>0</v>
      </c>
      <c r="F1025">
        <f>'Shipment Data for Provisioning'!G1030</f>
        <v>0</v>
      </c>
      <c r="G1025">
        <f>'Shipment Data for Provisioning'!H1030</f>
        <v>0</v>
      </c>
      <c r="H1025">
        <f>'Shipment Data for Provisioning'!I1030</f>
        <v>0</v>
      </c>
      <c r="I1025" t="e">
        <f>VLOOKUP(B1025,'Location Data'!$C$5:$G$1004,4,FALSE)</f>
        <v>#N/A</v>
      </c>
      <c r="J1025" t="e">
        <f>VLOOKUP(B1025,'Location Data'!$C$5:$G$1004,5,FALSE)</f>
        <v>#N/A</v>
      </c>
      <c r="K1025" t="e">
        <f>VLOOKUP(C1025,'Location Data'!$C$5:$G$1004,4,FALSE)</f>
        <v>#N/A</v>
      </c>
      <c r="L1025" t="e">
        <f>VLOOKUP(C1025,'Location Data'!$C$5:$G$1004,5,FALSE)</f>
        <v>#N/A</v>
      </c>
    </row>
    <row r="1026" spans="1:12" x14ac:dyDescent="0.2">
      <c r="A1026">
        <f>'Shipment Data for Provisioning'!B1031</f>
        <v>0</v>
      </c>
      <c r="B1026">
        <f>'Shipment Data for Provisioning'!C1031</f>
        <v>0</v>
      </c>
      <c r="C1026">
        <f>'Shipment Data for Provisioning'!D1031</f>
        <v>0</v>
      </c>
      <c r="D1026">
        <f>'Shipment Data for Provisioning'!E1031</f>
        <v>0</v>
      </c>
      <c r="E1026">
        <f>'Shipment Data for Provisioning'!F1031</f>
        <v>0</v>
      </c>
      <c r="F1026">
        <f>'Shipment Data for Provisioning'!G1031</f>
        <v>0</v>
      </c>
      <c r="G1026">
        <f>'Shipment Data for Provisioning'!H1031</f>
        <v>0</v>
      </c>
      <c r="H1026">
        <f>'Shipment Data for Provisioning'!I1031</f>
        <v>0</v>
      </c>
      <c r="I1026" t="e">
        <f>VLOOKUP(B1026,'Location Data'!$C$5:$G$1004,4,FALSE)</f>
        <v>#N/A</v>
      </c>
      <c r="J1026" t="e">
        <f>VLOOKUP(B1026,'Location Data'!$C$5:$G$1004,5,FALSE)</f>
        <v>#N/A</v>
      </c>
      <c r="K1026" t="e">
        <f>VLOOKUP(C1026,'Location Data'!$C$5:$G$1004,4,FALSE)</f>
        <v>#N/A</v>
      </c>
      <c r="L1026" t="e">
        <f>VLOOKUP(C1026,'Location Data'!$C$5:$G$1004,5,FALSE)</f>
        <v>#N/A</v>
      </c>
    </row>
    <row r="1027" spans="1:12" x14ac:dyDescent="0.2">
      <c r="A1027">
        <f>'Shipment Data for Provisioning'!B1032</f>
        <v>0</v>
      </c>
      <c r="B1027">
        <f>'Shipment Data for Provisioning'!C1032</f>
        <v>0</v>
      </c>
      <c r="C1027">
        <f>'Shipment Data for Provisioning'!D1032</f>
        <v>0</v>
      </c>
      <c r="D1027">
        <f>'Shipment Data for Provisioning'!E1032</f>
        <v>0</v>
      </c>
      <c r="E1027">
        <f>'Shipment Data for Provisioning'!F1032</f>
        <v>0</v>
      </c>
      <c r="F1027">
        <f>'Shipment Data for Provisioning'!G1032</f>
        <v>0</v>
      </c>
      <c r="G1027">
        <f>'Shipment Data for Provisioning'!H1032</f>
        <v>0</v>
      </c>
      <c r="H1027">
        <f>'Shipment Data for Provisioning'!I1032</f>
        <v>0</v>
      </c>
      <c r="I1027" t="e">
        <f>VLOOKUP(B1027,'Location Data'!$C$5:$G$1004,4,FALSE)</f>
        <v>#N/A</v>
      </c>
      <c r="J1027" t="e">
        <f>VLOOKUP(B1027,'Location Data'!$C$5:$G$1004,5,FALSE)</f>
        <v>#N/A</v>
      </c>
      <c r="K1027" t="e">
        <f>VLOOKUP(C1027,'Location Data'!$C$5:$G$1004,4,FALSE)</f>
        <v>#N/A</v>
      </c>
      <c r="L1027" t="e">
        <f>VLOOKUP(C1027,'Location Data'!$C$5:$G$1004,5,FALSE)</f>
        <v>#N/A</v>
      </c>
    </row>
    <row r="1028" spans="1:12" x14ac:dyDescent="0.2">
      <c r="A1028">
        <f>'Shipment Data for Provisioning'!B1033</f>
        <v>0</v>
      </c>
      <c r="B1028">
        <f>'Shipment Data for Provisioning'!C1033</f>
        <v>0</v>
      </c>
      <c r="C1028">
        <f>'Shipment Data for Provisioning'!D1033</f>
        <v>0</v>
      </c>
      <c r="D1028">
        <f>'Shipment Data for Provisioning'!E1033</f>
        <v>0</v>
      </c>
      <c r="E1028">
        <f>'Shipment Data for Provisioning'!F1033</f>
        <v>0</v>
      </c>
      <c r="F1028">
        <f>'Shipment Data for Provisioning'!G1033</f>
        <v>0</v>
      </c>
      <c r="G1028">
        <f>'Shipment Data for Provisioning'!H1033</f>
        <v>0</v>
      </c>
      <c r="H1028">
        <f>'Shipment Data for Provisioning'!I1033</f>
        <v>0</v>
      </c>
      <c r="I1028" t="e">
        <f>VLOOKUP(B1028,'Location Data'!$C$5:$G$1004,4,FALSE)</f>
        <v>#N/A</v>
      </c>
      <c r="J1028" t="e">
        <f>VLOOKUP(B1028,'Location Data'!$C$5:$G$1004,5,FALSE)</f>
        <v>#N/A</v>
      </c>
      <c r="K1028" t="e">
        <f>VLOOKUP(C1028,'Location Data'!$C$5:$G$1004,4,FALSE)</f>
        <v>#N/A</v>
      </c>
      <c r="L1028" t="e">
        <f>VLOOKUP(C1028,'Location Data'!$C$5:$G$1004,5,FALSE)</f>
        <v>#N/A</v>
      </c>
    </row>
    <row r="1029" spans="1:12" x14ac:dyDescent="0.2">
      <c r="A1029">
        <f>'Shipment Data for Provisioning'!B1034</f>
        <v>0</v>
      </c>
      <c r="B1029">
        <f>'Shipment Data for Provisioning'!C1034</f>
        <v>0</v>
      </c>
      <c r="C1029">
        <f>'Shipment Data for Provisioning'!D1034</f>
        <v>0</v>
      </c>
      <c r="D1029">
        <f>'Shipment Data for Provisioning'!E1034</f>
        <v>0</v>
      </c>
      <c r="E1029">
        <f>'Shipment Data for Provisioning'!F1034</f>
        <v>0</v>
      </c>
      <c r="F1029">
        <f>'Shipment Data for Provisioning'!G1034</f>
        <v>0</v>
      </c>
      <c r="G1029">
        <f>'Shipment Data for Provisioning'!H1034</f>
        <v>0</v>
      </c>
      <c r="H1029">
        <f>'Shipment Data for Provisioning'!I1034</f>
        <v>0</v>
      </c>
      <c r="I1029" t="e">
        <f>VLOOKUP(B1029,'Location Data'!$C$5:$G$1004,4,FALSE)</f>
        <v>#N/A</v>
      </c>
      <c r="J1029" t="e">
        <f>VLOOKUP(B1029,'Location Data'!$C$5:$G$1004,5,FALSE)</f>
        <v>#N/A</v>
      </c>
      <c r="K1029" t="e">
        <f>VLOOKUP(C1029,'Location Data'!$C$5:$G$1004,4,FALSE)</f>
        <v>#N/A</v>
      </c>
      <c r="L1029" t="e">
        <f>VLOOKUP(C1029,'Location Data'!$C$5:$G$1004,5,FALSE)</f>
        <v>#N/A</v>
      </c>
    </row>
    <row r="1030" spans="1:12" x14ac:dyDescent="0.2">
      <c r="A1030">
        <f>'Shipment Data for Provisioning'!B1035</f>
        <v>0</v>
      </c>
      <c r="B1030">
        <f>'Shipment Data for Provisioning'!C1035</f>
        <v>0</v>
      </c>
      <c r="C1030">
        <f>'Shipment Data for Provisioning'!D1035</f>
        <v>0</v>
      </c>
      <c r="D1030">
        <f>'Shipment Data for Provisioning'!E1035</f>
        <v>0</v>
      </c>
      <c r="E1030">
        <f>'Shipment Data for Provisioning'!F1035</f>
        <v>0</v>
      </c>
      <c r="F1030">
        <f>'Shipment Data for Provisioning'!G1035</f>
        <v>0</v>
      </c>
      <c r="G1030">
        <f>'Shipment Data for Provisioning'!H1035</f>
        <v>0</v>
      </c>
      <c r="H1030">
        <f>'Shipment Data for Provisioning'!I1035</f>
        <v>0</v>
      </c>
      <c r="I1030" t="e">
        <f>VLOOKUP(B1030,'Location Data'!$C$5:$G$1004,4,FALSE)</f>
        <v>#N/A</v>
      </c>
      <c r="J1030" t="e">
        <f>VLOOKUP(B1030,'Location Data'!$C$5:$G$1004,5,FALSE)</f>
        <v>#N/A</v>
      </c>
      <c r="K1030" t="e">
        <f>VLOOKUP(C1030,'Location Data'!$C$5:$G$1004,4,FALSE)</f>
        <v>#N/A</v>
      </c>
      <c r="L1030" t="e">
        <f>VLOOKUP(C1030,'Location Data'!$C$5:$G$1004,5,FALSE)</f>
        <v>#N/A</v>
      </c>
    </row>
    <row r="1031" spans="1:12" x14ac:dyDescent="0.2">
      <c r="A1031">
        <f>'Shipment Data for Provisioning'!B1036</f>
        <v>0</v>
      </c>
      <c r="B1031">
        <f>'Shipment Data for Provisioning'!C1036</f>
        <v>0</v>
      </c>
      <c r="C1031">
        <f>'Shipment Data for Provisioning'!D1036</f>
        <v>0</v>
      </c>
      <c r="D1031">
        <f>'Shipment Data for Provisioning'!E1036</f>
        <v>0</v>
      </c>
      <c r="E1031">
        <f>'Shipment Data for Provisioning'!F1036</f>
        <v>0</v>
      </c>
      <c r="F1031">
        <f>'Shipment Data for Provisioning'!G1036</f>
        <v>0</v>
      </c>
      <c r="G1031">
        <f>'Shipment Data for Provisioning'!H1036</f>
        <v>0</v>
      </c>
      <c r="H1031">
        <f>'Shipment Data for Provisioning'!I1036</f>
        <v>0</v>
      </c>
      <c r="I1031" t="e">
        <f>VLOOKUP(B1031,'Location Data'!$C$5:$G$1004,4,FALSE)</f>
        <v>#N/A</v>
      </c>
      <c r="J1031" t="e">
        <f>VLOOKUP(B1031,'Location Data'!$C$5:$G$1004,5,FALSE)</f>
        <v>#N/A</v>
      </c>
      <c r="K1031" t="e">
        <f>VLOOKUP(C1031,'Location Data'!$C$5:$G$1004,4,FALSE)</f>
        <v>#N/A</v>
      </c>
      <c r="L1031" t="e">
        <f>VLOOKUP(C1031,'Location Data'!$C$5:$G$1004,5,FALSE)</f>
        <v>#N/A</v>
      </c>
    </row>
    <row r="1032" spans="1:12" x14ac:dyDescent="0.2">
      <c r="A1032">
        <f>'Shipment Data for Provisioning'!B1037</f>
        <v>0</v>
      </c>
      <c r="B1032">
        <f>'Shipment Data for Provisioning'!C1037</f>
        <v>0</v>
      </c>
      <c r="C1032">
        <f>'Shipment Data for Provisioning'!D1037</f>
        <v>0</v>
      </c>
      <c r="D1032">
        <f>'Shipment Data for Provisioning'!E1037</f>
        <v>0</v>
      </c>
      <c r="E1032">
        <f>'Shipment Data for Provisioning'!F1037</f>
        <v>0</v>
      </c>
      <c r="F1032">
        <f>'Shipment Data for Provisioning'!G1037</f>
        <v>0</v>
      </c>
      <c r="G1032">
        <f>'Shipment Data for Provisioning'!H1037</f>
        <v>0</v>
      </c>
      <c r="H1032">
        <f>'Shipment Data for Provisioning'!I1037</f>
        <v>0</v>
      </c>
      <c r="I1032" t="e">
        <f>VLOOKUP(B1032,'Location Data'!$C$5:$G$1004,4,FALSE)</f>
        <v>#N/A</v>
      </c>
      <c r="J1032" t="e">
        <f>VLOOKUP(B1032,'Location Data'!$C$5:$G$1004,5,FALSE)</f>
        <v>#N/A</v>
      </c>
      <c r="K1032" t="e">
        <f>VLOOKUP(C1032,'Location Data'!$C$5:$G$1004,4,FALSE)</f>
        <v>#N/A</v>
      </c>
      <c r="L1032" t="e">
        <f>VLOOKUP(C1032,'Location Data'!$C$5:$G$1004,5,FALSE)</f>
        <v>#N/A</v>
      </c>
    </row>
    <row r="1033" spans="1:12" x14ac:dyDescent="0.2">
      <c r="A1033">
        <f>'Shipment Data for Provisioning'!B1038</f>
        <v>0</v>
      </c>
      <c r="B1033">
        <f>'Shipment Data for Provisioning'!C1038</f>
        <v>0</v>
      </c>
      <c r="C1033">
        <f>'Shipment Data for Provisioning'!D1038</f>
        <v>0</v>
      </c>
      <c r="D1033">
        <f>'Shipment Data for Provisioning'!E1038</f>
        <v>0</v>
      </c>
      <c r="E1033">
        <f>'Shipment Data for Provisioning'!F1038</f>
        <v>0</v>
      </c>
      <c r="F1033">
        <f>'Shipment Data for Provisioning'!G1038</f>
        <v>0</v>
      </c>
      <c r="G1033">
        <f>'Shipment Data for Provisioning'!H1038</f>
        <v>0</v>
      </c>
      <c r="H1033">
        <f>'Shipment Data for Provisioning'!I1038</f>
        <v>0</v>
      </c>
      <c r="I1033" t="e">
        <f>VLOOKUP(B1033,'Location Data'!$C$5:$G$1004,4,FALSE)</f>
        <v>#N/A</v>
      </c>
      <c r="J1033" t="e">
        <f>VLOOKUP(B1033,'Location Data'!$C$5:$G$1004,5,FALSE)</f>
        <v>#N/A</v>
      </c>
      <c r="K1033" t="e">
        <f>VLOOKUP(C1033,'Location Data'!$C$5:$G$1004,4,FALSE)</f>
        <v>#N/A</v>
      </c>
      <c r="L1033" t="e">
        <f>VLOOKUP(C1033,'Location Data'!$C$5:$G$1004,5,FALSE)</f>
        <v>#N/A</v>
      </c>
    </row>
    <row r="1034" spans="1:12" x14ac:dyDescent="0.2">
      <c r="A1034">
        <f>'Shipment Data for Provisioning'!B1039</f>
        <v>0</v>
      </c>
      <c r="B1034">
        <f>'Shipment Data for Provisioning'!C1039</f>
        <v>0</v>
      </c>
      <c r="C1034">
        <f>'Shipment Data for Provisioning'!D1039</f>
        <v>0</v>
      </c>
      <c r="D1034">
        <f>'Shipment Data for Provisioning'!E1039</f>
        <v>0</v>
      </c>
      <c r="E1034">
        <f>'Shipment Data for Provisioning'!F1039</f>
        <v>0</v>
      </c>
      <c r="F1034">
        <f>'Shipment Data for Provisioning'!G1039</f>
        <v>0</v>
      </c>
      <c r="G1034">
        <f>'Shipment Data for Provisioning'!H1039</f>
        <v>0</v>
      </c>
      <c r="H1034">
        <f>'Shipment Data for Provisioning'!I1039</f>
        <v>0</v>
      </c>
      <c r="I1034" t="e">
        <f>VLOOKUP(B1034,'Location Data'!$C$5:$G$1004,4,FALSE)</f>
        <v>#N/A</v>
      </c>
      <c r="J1034" t="e">
        <f>VLOOKUP(B1034,'Location Data'!$C$5:$G$1004,5,FALSE)</f>
        <v>#N/A</v>
      </c>
      <c r="K1034" t="e">
        <f>VLOOKUP(C1034,'Location Data'!$C$5:$G$1004,4,FALSE)</f>
        <v>#N/A</v>
      </c>
      <c r="L1034" t="e">
        <f>VLOOKUP(C1034,'Location Data'!$C$5:$G$1004,5,FALSE)</f>
        <v>#N/A</v>
      </c>
    </row>
    <row r="1035" spans="1:12" x14ac:dyDescent="0.2">
      <c r="A1035">
        <f>'Shipment Data for Provisioning'!B1040</f>
        <v>0</v>
      </c>
      <c r="B1035">
        <f>'Shipment Data for Provisioning'!C1040</f>
        <v>0</v>
      </c>
      <c r="C1035">
        <f>'Shipment Data for Provisioning'!D1040</f>
        <v>0</v>
      </c>
      <c r="D1035">
        <f>'Shipment Data for Provisioning'!E1040</f>
        <v>0</v>
      </c>
      <c r="E1035">
        <f>'Shipment Data for Provisioning'!F1040</f>
        <v>0</v>
      </c>
      <c r="F1035">
        <f>'Shipment Data for Provisioning'!G1040</f>
        <v>0</v>
      </c>
      <c r="G1035">
        <f>'Shipment Data for Provisioning'!H1040</f>
        <v>0</v>
      </c>
      <c r="H1035">
        <f>'Shipment Data for Provisioning'!I1040</f>
        <v>0</v>
      </c>
      <c r="I1035" t="e">
        <f>VLOOKUP(B1035,'Location Data'!$C$5:$G$1004,4,FALSE)</f>
        <v>#N/A</v>
      </c>
      <c r="J1035" t="e">
        <f>VLOOKUP(B1035,'Location Data'!$C$5:$G$1004,5,FALSE)</f>
        <v>#N/A</v>
      </c>
      <c r="K1035" t="e">
        <f>VLOOKUP(C1035,'Location Data'!$C$5:$G$1004,4,FALSE)</f>
        <v>#N/A</v>
      </c>
      <c r="L1035" t="e">
        <f>VLOOKUP(C1035,'Location Data'!$C$5:$G$1004,5,FALSE)</f>
        <v>#N/A</v>
      </c>
    </row>
    <row r="1036" spans="1:12" x14ac:dyDescent="0.2">
      <c r="A1036">
        <f>'Shipment Data for Provisioning'!B1041</f>
        <v>0</v>
      </c>
      <c r="B1036">
        <f>'Shipment Data for Provisioning'!C1041</f>
        <v>0</v>
      </c>
      <c r="C1036">
        <f>'Shipment Data for Provisioning'!D1041</f>
        <v>0</v>
      </c>
      <c r="D1036">
        <f>'Shipment Data for Provisioning'!E1041</f>
        <v>0</v>
      </c>
      <c r="E1036">
        <f>'Shipment Data for Provisioning'!F1041</f>
        <v>0</v>
      </c>
      <c r="F1036">
        <f>'Shipment Data for Provisioning'!G1041</f>
        <v>0</v>
      </c>
      <c r="G1036">
        <f>'Shipment Data for Provisioning'!H1041</f>
        <v>0</v>
      </c>
      <c r="H1036">
        <f>'Shipment Data for Provisioning'!I1041</f>
        <v>0</v>
      </c>
      <c r="I1036" t="e">
        <f>VLOOKUP(B1036,'Location Data'!$C$5:$G$1004,4,FALSE)</f>
        <v>#N/A</v>
      </c>
      <c r="J1036" t="e">
        <f>VLOOKUP(B1036,'Location Data'!$C$5:$G$1004,5,FALSE)</f>
        <v>#N/A</v>
      </c>
      <c r="K1036" t="e">
        <f>VLOOKUP(C1036,'Location Data'!$C$5:$G$1004,4,FALSE)</f>
        <v>#N/A</v>
      </c>
      <c r="L1036" t="e">
        <f>VLOOKUP(C1036,'Location Data'!$C$5:$G$1004,5,FALSE)</f>
        <v>#N/A</v>
      </c>
    </row>
    <row r="1037" spans="1:12" x14ac:dyDescent="0.2">
      <c r="A1037">
        <f>'Shipment Data for Provisioning'!B1042</f>
        <v>0</v>
      </c>
      <c r="B1037">
        <f>'Shipment Data for Provisioning'!C1042</f>
        <v>0</v>
      </c>
      <c r="C1037">
        <f>'Shipment Data for Provisioning'!D1042</f>
        <v>0</v>
      </c>
      <c r="D1037">
        <f>'Shipment Data for Provisioning'!E1042</f>
        <v>0</v>
      </c>
      <c r="E1037">
        <f>'Shipment Data for Provisioning'!F1042</f>
        <v>0</v>
      </c>
      <c r="F1037">
        <f>'Shipment Data for Provisioning'!G1042</f>
        <v>0</v>
      </c>
      <c r="G1037">
        <f>'Shipment Data for Provisioning'!H1042</f>
        <v>0</v>
      </c>
      <c r="H1037">
        <f>'Shipment Data for Provisioning'!I1042</f>
        <v>0</v>
      </c>
      <c r="I1037" t="e">
        <f>VLOOKUP(B1037,'Location Data'!$C$5:$G$1004,4,FALSE)</f>
        <v>#N/A</v>
      </c>
      <c r="J1037" t="e">
        <f>VLOOKUP(B1037,'Location Data'!$C$5:$G$1004,5,FALSE)</f>
        <v>#N/A</v>
      </c>
      <c r="K1037" t="e">
        <f>VLOOKUP(C1037,'Location Data'!$C$5:$G$1004,4,FALSE)</f>
        <v>#N/A</v>
      </c>
      <c r="L1037" t="e">
        <f>VLOOKUP(C1037,'Location Data'!$C$5:$G$1004,5,FALSE)</f>
        <v>#N/A</v>
      </c>
    </row>
    <row r="1038" spans="1:12" x14ac:dyDescent="0.2">
      <c r="A1038">
        <f>'Shipment Data for Provisioning'!B1043</f>
        <v>0</v>
      </c>
      <c r="B1038">
        <f>'Shipment Data for Provisioning'!C1043</f>
        <v>0</v>
      </c>
      <c r="C1038">
        <f>'Shipment Data for Provisioning'!D1043</f>
        <v>0</v>
      </c>
      <c r="D1038">
        <f>'Shipment Data for Provisioning'!E1043</f>
        <v>0</v>
      </c>
      <c r="E1038">
        <f>'Shipment Data for Provisioning'!F1043</f>
        <v>0</v>
      </c>
      <c r="F1038">
        <f>'Shipment Data for Provisioning'!G1043</f>
        <v>0</v>
      </c>
      <c r="G1038">
        <f>'Shipment Data for Provisioning'!H1043</f>
        <v>0</v>
      </c>
      <c r="H1038">
        <f>'Shipment Data for Provisioning'!I1043</f>
        <v>0</v>
      </c>
      <c r="I1038" t="e">
        <f>VLOOKUP(B1038,'Location Data'!$C$5:$G$1004,4,FALSE)</f>
        <v>#N/A</v>
      </c>
      <c r="J1038" t="e">
        <f>VLOOKUP(B1038,'Location Data'!$C$5:$G$1004,5,FALSE)</f>
        <v>#N/A</v>
      </c>
      <c r="K1038" t="e">
        <f>VLOOKUP(C1038,'Location Data'!$C$5:$G$1004,4,FALSE)</f>
        <v>#N/A</v>
      </c>
      <c r="L1038" t="e">
        <f>VLOOKUP(C1038,'Location Data'!$C$5:$G$1004,5,FALSE)</f>
        <v>#N/A</v>
      </c>
    </row>
    <row r="1039" spans="1:12" x14ac:dyDescent="0.2">
      <c r="A1039">
        <f>'Shipment Data for Provisioning'!B1044</f>
        <v>0</v>
      </c>
      <c r="B1039">
        <f>'Shipment Data for Provisioning'!C1044</f>
        <v>0</v>
      </c>
      <c r="C1039">
        <f>'Shipment Data for Provisioning'!D1044</f>
        <v>0</v>
      </c>
      <c r="D1039">
        <f>'Shipment Data for Provisioning'!E1044</f>
        <v>0</v>
      </c>
      <c r="E1039">
        <f>'Shipment Data for Provisioning'!F1044</f>
        <v>0</v>
      </c>
      <c r="F1039">
        <f>'Shipment Data for Provisioning'!G1044</f>
        <v>0</v>
      </c>
      <c r="G1039">
        <f>'Shipment Data for Provisioning'!H1044</f>
        <v>0</v>
      </c>
      <c r="H1039">
        <f>'Shipment Data for Provisioning'!I1044</f>
        <v>0</v>
      </c>
      <c r="I1039" t="e">
        <f>VLOOKUP(B1039,'Location Data'!$C$5:$G$1004,4,FALSE)</f>
        <v>#N/A</v>
      </c>
      <c r="J1039" t="e">
        <f>VLOOKUP(B1039,'Location Data'!$C$5:$G$1004,5,FALSE)</f>
        <v>#N/A</v>
      </c>
      <c r="K1039" t="e">
        <f>VLOOKUP(C1039,'Location Data'!$C$5:$G$1004,4,FALSE)</f>
        <v>#N/A</v>
      </c>
      <c r="L1039" t="e">
        <f>VLOOKUP(C1039,'Location Data'!$C$5:$G$1004,5,FALSE)</f>
        <v>#N/A</v>
      </c>
    </row>
    <row r="1040" spans="1:12" x14ac:dyDescent="0.2">
      <c r="A1040">
        <f>'Shipment Data for Provisioning'!B1045</f>
        <v>0</v>
      </c>
      <c r="B1040">
        <f>'Shipment Data for Provisioning'!C1045</f>
        <v>0</v>
      </c>
      <c r="C1040">
        <f>'Shipment Data for Provisioning'!D1045</f>
        <v>0</v>
      </c>
      <c r="D1040">
        <f>'Shipment Data for Provisioning'!E1045</f>
        <v>0</v>
      </c>
      <c r="E1040">
        <f>'Shipment Data for Provisioning'!F1045</f>
        <v>0</v>
      </c>
      <c r="F1040">
        <f>'Shipment Data for Provisioning'!G1045</f>
        <v>0</v>
      </c>
      <c r="G1040">
        <f>'Shipment Data for Provisioning'!H1045</f>
        <v>0</v>
      </c>
      <c r="H1040">
        <f>'Shipment Data for Provisioning'!I1045</f>
        <v>0</v>
      </c>
      <c r="I1040" t="e">
        <f>VLOOKUP(B1040,'Location Data'!$C$5:$G$1004,4,FALSE)</f>
        <v>#N/A</v>
      </c>
      <c r="J1040" t="e">
        <f>VLOOKUP(B1040,'Location Data'!$C$5:$G$1004,5,FALSE)</f>
        <v>#N/A</v>
      </c>
      <c r="K1040" t="e">
        <f>VLOOKUP(C1040,'Location Data'!$C$5:$G$1004,4,FALSE)</f>
        <v>#N/A</v>
      </c>
      <c r="L1040" t="e">
        <f>VLOOKUP(C1040,'Location Data'!$C$5:$G$1004,5,FALSE)</f>
        <v>#N/A</v>
      </c>
    </row>
    <row r="1041" spans="1:12" x14ac:dyDescent="0.2">
      <c r="A1041">
        <f>'Shipment Data for Provisioning'!B1046</f>
        <v>0</v>
      </c>
      <c r="B1041">
        <f>'Shipment Data for Provisioning'!C1046</f>
        <v>0</v>
      </c>
      <c r="C1041">
        <f>'Shipment Data for Provisioning'!D1046</f>
        <v>0</v>
      </c>
      <c r="D1041">
        <f>'Shipment Data for Provisioning'!E1046</f>
        <v>0</v>
      </c>
      <c r="E1041">
        <f>'Shipment Data for Provisioning'!F1046</f>
        <v>0</v>
      </c>
      <c r="F1041">
        <f>'Shipment Data for Provisioning'!G1046</f>
        <v>0</v>
      </c>
      <c r="G1041">
        <f>'Shipment Data for Provisioning'!H1046</f>
        <v>0</v>
      </c>
      <c r="H1041">
        <f>'Shipment Data for Provisioning'!I1046</f>
        <v>0</v>
      </c>
      <c r="I1041" t="e">
        <f>VLOOKUP(B1041,'Location Data'!$C$5:$G$1004,4,FALSE)</f>
        <v>#N/A</v>
      </c>
      <c r="J1041" t="e">
        <f>VLOOKUP(B1041,'Location Data'!$C$5:$G$1004,5,FALSE)</f>
        <v>#N/A</v>
      </c>
      <c r="K1041" t="e">
        <f>VLOOKUP(C1041,'Location Data'!$C$5:$G$1004,4,FALSE)</f>
        <v>#N/A</v>
      </c>
      <c r="L1041" t="e">
        <f>VLOOKUP(C1041,'Location Data'!$C$5:$G$1004,5,FALSE)</f>
        <v>#N/A</v>
      </c>
    </row>
    <row r="1042" spans="1:12" x14ac:dyDescent="0.2">
      <c r="A1042">
        <f>'Shipment Data for Provisioning'!B1047</f>
        <v>0</v>
      </c>
      <c r="B1042">
        <f>'Shipment Data for Provisioning'!C1047</f>
        <v>0</v>
      </c>
      <c r="C1042">
        <f>'Shipment Data for Provisioning'!D1047</f>
        <v>0</v>
      </c>
      <c r="D1042">
        <f>'Shipment Data for Provisioning'!E1047</f>
        <v>0</v>
      </c>
      <c r="E1042">
        <f>'Shipment Data for Provisioning'!F1047</f>
        <v>0</v>
      </c>
      <c r="F1042">
        <f>'Shipment Data for Provisioning'!G1047</f>
        <v>0</v>
      </c>
      <c r="G1042">
        <f>'Shipment Data for Provisioning'!H1047</f>
        <v>0</v>
      </c>
      <c r="H1042">
        <f>'Shipment Data for Provisioning'!I1047</f>
        <v>0</v>
      </c>
      <c r="I1042" t="e">
        <f>VLOOKUP(B1042,'Location Data'!$C$5:$G$1004,4,FALSE)</f>
        <v>#N/A</v>
      </c>
      <c r="J1042" t="e">
        <f>VLOOKUP(B1042,'Location Data'!$C$5:$G$1004,5,FALSE)</f>
        <v>#N/A</v>
      </c>
      <c r="K1042" t="e">
        <f>VLOOKUP(C1042,'Location Data'!$C$5:$G$1004,4,FALSE)</f>
        <v>#N/A</v>
      </c>
      <c r="L1042" t="e">
        <f>VLOOKUP(C1042,'Location Data'!$C$5:$G$1004,5,FALSE)</f>
        <v>#N/A</v>
      </c>
    </row>
    <row r="1043" spans="1:12" x14ac:dyDescent="0.2">
      <c r="A1043">
        <f>'Shipment Data for Provisioning'!B1048</f>
        <v>0</v>
      </c>
      <c r="B1043">
        <f>'Shipment Data for Provisioning'!C1048</f>
        <v>0</v>
      </c>
      <c r="C1043">
        <f>'Shipment Data for Provisioning'!D1048</f>
        <v>0</v>
      </c>
      <c r="D1043">
        <f>'Shipment Data for Provisioning'!E1048</f>
        <v>0</v>
      </c>
      <c r="E1043">
        <f>'Shipment Data for Provisioning'!F1048</f>
        <v>0</v>
      </c>
      <c r="F1043">
        <f>'Shipment Data for Provisioning'!G1048</f>
        <v>0</v>
      </c>
      <c r="G1043">
        <f>'Shipment Data for Provisioning'!H1048</f>
        <v>0</v>
      </c>
      <c r="H1043">
        <f>'Shipment Data for Provisioning'!I1048</f>
        <v>0</v>
      </c>
      <c r="I1043" t="e">
        <f>VLOOKUP(B1043,'Location Data'!$C$5:$G$1004,4,FALSE)</f>
        <v>#N/A</v>
      </c>
      <c r="J1043" t="e">
        <f>VLOOKUP(B1043,'Location Data'!$C$5:$G$1004,5,FALSE)</f>
        <v>#N/A</v>
      </c>
      <c r="K1043" t="e">
        <f>VLOOKUP(C1043,'Location Data'!$C$5:$G$1004,4,FALSE)</f>
        <v>#N/A</v>
      </c>
      <c r="L1043" t="e">
        <f>VLOOKUP(C1043,'Location Data'!$C$5:$G$1004,5,FALSE)</f>
        <v>#N/A</v>
      </c>
    </row>
    <row r="1044" spans="1:12" x14ac:dyDescent="0.2">
      <c r="A1044">
        <f>'Shipment Data for Provisioning'!B1049</f>
        <v>0</v>
      </c>
      <c r="B1044">
        <f>'Shipment Data for Provisioning'!C1049</f>
        <v>0</v>
      </c>
      <c r="C1044">
        <f>'Shipment Data for Provisioning'!D1049</f>
        <v>0</v>
      </c>
      <c r="D1044">
        <f>'Shipment Data for Provisioning'!E1049</f>
        <v>0</v>
      </c>
      <c r="E1044">
        <f>'Shipment Data for Provisioning'!F1049</f>
        <v>0</v>
      </c>
      <c r="F1044">
        <f>'Shipment Data for Provisioning'!G1049</f>
        <v>0</v>
      </c>
      <c r="G1044">
        <f>'Shipment Data for Provisioning'!H1049</f>
        <v>0</v>
      </c>
      <c r="H1044">
        <f>'Shipment Data for Provisioning'!I1049</f>
        <v>0</v>
      </c>
      <c r="I1044" t="e">
        <f>VLOOKUP(B1044,'Location Data'!$C$5:$G$1004,4,FALSE)</f>
        <v>#N/A</v>
      </c>
      <c r="J1044" t="e">
        <f>VLOOKUP(B1044,'Location Data'!$C$5:$G$1004,5,FALSE)</f>
        <v>#N/A</v>
      </c>
      <c r="K1044" t="e">
        <f>VLOOKUP(C1044,'Location Data'!$C$5:$G$1004,4,FALSE)</f>
        <v>#N/A</v>
      </c>
      <c r="L1044" t="e">
        <f>VLOOKUP(C1044,'Location Data'!$C$5:$G$1004,5,FALSE)</f>
        <v>#N/A</v>
      </c>
    </row>
    <row r="1045" spans="1:12" x14ac:dyDescent="0.2">
      <c r="A1045">
        <f>'Shipment Data for Provisioning'!B1050</f>
        <v>0</v>
      </c>
      <c r="B1045">
        <f>'Shipment Data for Provisioning'!C1050</f>
        <v>0</v>
      </c>
      <c r="C1045">
        <f>'Shipment Data for Provisioning'!D1050</f>
        <v>0</v>
      </c>
      <c r="D1045">
        <f>'Shipment Data for Provisioning'!E1050</f>
        <v>0</v>
      </c>
      <c r="E1045">
        <f>'Shipment Data for Provisioning'!F1050</f>
        <v>0</v>
      </c>
      <c r="F1045">
        <f>'Shipment Data for Provisioning'!G1050</f>
        <v>0</v>
      </c>
      <c r="G1045">
        <f>'Shipment Data for Provisioning'!H1050</f>
        <v>0</v>
      </c>
      <c r="H1045">
        <f>'Shipment Data for Provisioning'!I1050</f>
        <v>0</v>
      </c>
      <c r="I1045" t="e">
        <f>VLOOKUP(B1045,'Location Data'!$C$5:$G$1004,4,FALSE)</f>
        <v>#N/A</v>
      </c>
      <c r="J1045" t="e">
        <f>VLOOKUP(B1045,'Location Data'!$C$5:$G$1004,5,FALSE)</f>
        <v>#N/A</v>
      </c>
      <c r="K1045" t="e">
        <f>VLOOKUP(C1045,'Location Data'!$C$5:$G$1004,4,FALSE)</f>
        <v>#N/A</v>
      </c>
      <c r="L1045" t="e">
        <f>VLOOKUP(C1045,'Location Data'!$C$5:$G$1004,5,FALSE)</f>
        <v>#N/A</v>
      </c>
    </row>
    <row r="1046" spans="1:12" x14ac:dyDescent="0.2">
      <c r="A1046">
        <f>'Shipment Data for Provisioning'!B1051</f>
        <v>0</v>
      </c>
      <c r="B1046">
        <f>'Shipment Data for Provisioning'!C1051</f>
        <v>0</v>
      </c>
      <c r="C1046">
        <f>'Shipment Data for Provisioning'!D1051</f>
        <v>0</v>
      </c>
      <c r="D1046">
        <f>'Shipment Data for Provisioning'!E1051</f>
        <v>0</v>
      </c>
      <c r="E1046">
        <f>'Shipment Data for Provisioning'!F1051</f>
        <v>0</v>
      </c>
      <c r="F1046">
        <f>'Shipment Data for Provisioning'!G1051</f>
        <v>0</v>
      </c>
      <c r="G1046">
        <f>'Shipment Data for Provisioning'!H1051</f>
        <v>0</v>
      </c>
      <c r="H1046">
        <f>'Shipment Data for Provisioning'!I1051</f>
        <v>0</v>
      </c>
      <c r="I1046" t="e">
        <f>VLOOKUP(B1046,'Location Data'!$C$5:$G$1004,4,FALSE)</f>
        <v>#N/A</v>
      </c>
      <c r="J1046" t="e">
        <f>VLOOKUP(B1046,'Location Data'!$C$5:$G$1004,5,FALSE)</f>
        <v>#N/A</v>
      </c>
      <c r="K1046" t="e">
        <f>VLOOKUP(C1046,'Location Data'!$C$5:$G$1004,4,FALSE)</f>
        <v>#N/A</v>
      </c>
      <c r="L1046" t="e">
        <f>VLOOKUP(C1046,'Location Data'!$C$5:$G$1004,5,FALSE)</f>
        <v>#N/A</v>
      </c>
    </row>
    <row r="1047" spans="1:12" x14ac:dyDescent="0.2">
      <c r="A1047">
        <f>'Shipment Data for Provisioning'!B1052</f>
        <v>0</v>
      </c>
      <c r="B1047">
        <f>'Shipment Data for Provisioning'!C1052</f>
        <v>0</v>
      </c>
      <c r="C1047">
        <f>'Shipment Data for Provisioning'!D1052</f>
        <v>0</v>
      </c>
      <c r="D1047">
        <f>'Shipment Data for Provisioning'!E1052</f>
        <v>0</v>
      </c>
      <c r="E1047">
        <f>'Shipment Data for Provisioning'!F1052</f>
        <v>0</v>
      </c>
      <c r="F1047">
        <f>'Shipment Data for Provisioning'!G1052</f>
        <v>0</v>
      </c>
      <c r="G1047">
        <f>'Shipment Data for Provisioning'!H1052</f>
        <v>0</v>
      </c>
      <c r="H1047">
        <f>'Shipment Data for Provisioning'!I1052</f>
        <v>0</v>
      </c>
      <c r="I1047" t="e">
        <f>VLOOKUP(B1047,'Location Data'!$C$5:$G$1004,4,FALSE)</f>
        <v>#N/A</v>
      </c>
      <c r="J1047" t="e">
        <f>VLOOKUP(B1047,'Location Data'!$C$5:$G$1004,5,FALSE)</f>
        <v>#N/A</v>
      </c>
      <c r="K1047" t="e">
        <f>VLOOKUP(C1047,'Location Data'!$C$5:$G$1004,4,FALSE)</f>
        <v>#N/A</v>
      </c>
      <c r="L1047" t="e">
        <f>VLOOKUP(C1047,'Location Data'!$C$5:$G$1004,5,FALSE)</f>
        <v>#N/A</v>
      </c>
    </row>
    <row r="1048" spans="1:12" x14ac:dyDescent="0.2">
      <c r="A1048">
        <f>'Shipment Data for Provisioning'!B1053</f>
        <v>0</v>
      </c>
      <c r="B1048">
        <f>'Shipment Data for Provisioning'!C1053</f>
        <v>0</v>
      </c>
      <c r="C1048">
        <f>'Shipment Data for Provisioning'!D1053</f>
        <v>0</v>
      </c>
      <c r="D1048">
        <f>'Shipment Data for Provisioning'!E1053</f>
        <v>0</v>
      </c>
      <c r="E1048">
        <f>'Shipment Data for Provisioning'!F1053</f>
        <v>0</v>
      </c>
      <c r="F1048">
        <f>'Shipment Data for Provisioning'!G1053</f>
        <v>0</v>
      </c>
      <c r="G1048">
        <f>'Shipment Data for Provisioning'!H1053</f>
        <v>0</v>
      </c>
      <c r="H1048">
        <f>'Shipment Data for Provisioning'!I1053</f>
        <v>0</v>
      </c>
      <c r="I1048" t="e">
        <f>VLOOKUP(B1048,'Location Data'!$C$5:$G$1004,4,FALSE)</f>
        <v>#N/A</v>
      </c>
      <c r="J1048" t="e">
        <f>VLOOKUP(B1048,'Location Data'!$C$5:$G$1004,5,FALSE)</f>
        <v>#N/A</v>
      </c>
      <c r="K1048" t="e">
        <f>VLOOKUP(C1048,'Location Data'!$C$5:$G$1004,4,FALSE)</f>
        <v>#N/A</v>
      </c>
      <c r="L1048" t="e">
        <f>VLOOKUP(C1048,'Location Data'!$C$5:$G$1004,5,FALSE)</f>
        <v>#N/A</v>
      </c>
    </row>
    <row r="1049" spans="1:12" x14ac:dyDescent="0.2">
      <c r="A1049">
        <f>'Shipment Data for Provisioning'!B1054</f>
        <v>0</v>
      </c>
      <c r="B1049">
        <f>'Shipment Data for Provisioning'!C1054</f>
        <v>0</v>
      </c>
      <c r="C1049">
        <f>'Shipment Data for Provisioning'!D1054</f>
        <v>0</v>
      </c>
      <c r="D1049">
        <f>'Shipment Data for Provisioning'!E1054</f>
        <v>0</v>
      </c>
      <c r="E1049">
        <f>'Shipment Data for Provisioning'!F1054</f>
        <v>0</v>
      </c>
      <c r="F1049">
        <f>'Shipment Data for Provisioning'!G1054</f>
        <v>0</v>
      </c>
      <c r="G1049">
        <f>'Shipment Data for Provisioning'!H1054</f>
        <v>0</v>
      </c>
      <c r="H1049">
        <f>'Shipment Data for Provisioning'!I1054</f>
        <v>0</v>
      </c>
      <c r="I1049" t="e">
        <f>VLOOKUP(B1049,'Location Data'!$C$5:$G$1004,4,FALSE)</f>
        <v>#N/A</v>
      </c>
      <c r="J1049" t="e">
        <f>VLOOKUP(B1049,'Location Data'!$C$5:$G$1004,5,FALSE)</f>
        <v>#N/A</v>
      </c>
      <c r="K1049" t="e">
        <f>VLOOKUP(C1049,'Location Data'!$C$5:$G$1004,4,FALSE)</f>
        <v>#N/A</v>
      </c>
      <c r="L1049" t="e">
        <f>VLOOKUP(C1049,'Location Data'!$C$5:$G$1004,5,FALSE)</f>
        <v>#N/A</v>
      </c>
    </row>
    <row r="1050" spans="1:12" x14ac:dyDescent="0.2">
      <c r="A1050">
        <f>'Shipment Data for Provisioning'!B1055</f>
        <v>0</v>
      </c>
      <c r="B1050">
        <f>'Shipment Data for Provisioning'!C1055</f>
        <v>0</v>
      </c>
      <c r="C1050">
        <f>'Shipment Data for Provisioning'!D1055</f>
        <v>0</v>
      </c>
      <c r="D1050">
        <f>'Shipment Data for Provisioning'!E1055</f>
        <v>0</v>
      </c>
      <c r="E1050">
        <f>'Shipment Data for Provisioning'!F1055</f>
        <v>0</v>
      </c>
      <c r="F1050">
        <f>'Shipment Data for Provisioning'!G1055</f>
        <v>0</v>
      </c>
      <c r="G1050">
        <f>'Shipment Data for Provisioning'!H1055</f>
        <v>0</v>
      </c>
      <c r="H1050">
        <f>'Shipment Data for Provisioning'!I1055</f>
        <v>0</v>
      </c>
      <c r="I1050" t="e">
        <f>VLOOKUP(B1050,'Location Data'!$C$5:$G$1004,4,FALSE)</f>
        <v>#N/A</v>
      </c>
      <c r="J1050" t="e">
        <f>VLOOKUP(B1050,'Location Data'!$C$5:$G$1004,5,FALSE)</f>
        <v>#N/A</v>
      </c>
      <c r="K1050" t="e">
        <f>VLOOKUP(C1050,'Location Data'!$C$5:$G$1004,4,FALSE)</f>
        <v>#N/A</v>
      </c>
      <c r="L1050" t="e">
        <f>VLOOKUP(C1050,'Location Data'!$C$5:$G$1004,5,FALSE)</f>
        <v>#N/A</v>
      </c>
    </row>
    <row r="1051" spans="1:12" x14ac:dyDescent="0.2">
      <c r="A1051">
        <f>'Shipment Data for Provisioning'!B1056</f>
        <v>0</v>
      </c>
      <c r="B1051">
        <f>'Shipment Data for Provisioning'!C1056</f>
        <v>0</v>
      </c>
      <c r="C1051">
        <f>'Shipment Data for Provisioning'!D1056</f>
        <v>0</v>
      </c>
      <c r="D1051">
        <f>'Shipment Data for Provisioning'!E1056</f>
        <v>0</v>
      </c>
      <c r="E1051">
        <f>'Shipment Data for Provisioning'!F1056</f>
        <v>0</v>
      </c>
      <c r="F1051">
        <f>'Shipment Data for Provisioning'!G1056</f>
        <v>0</v>
      </c>
      <c r="G1051">
        <f>'Shipment Data for Provisioning'!H1056</f>
        <v>0</v>
      </c>
      <c r="H1051">
        <f>'Shipment Data for Provisioning'!I1056</f>
        <v>0</v>
      </c>
      <c r="I1051" t="e">
        <f>VLOOKUP(B1051,'Location Data'!$C$5:$G$1004,4,FALSE)</f>
        <v>#N/A</v>
      </c>
      <c r="J1051" t="e">
        <f>VLOOKUP(B1051,'Location Data'!$C$5:$G$1004,5,FALSE)</f>
        <v>#N/A</v>
      </c>
      <c r="K1051" t="e">
        <f>VLOOKUP(C1051,'Location Data'!$C$5:$G$1004,4,FALSE)</f>
        <v>#N/A</v>
      </c>
      <c r="L1051" t="e">
        <f>VLOOKUP(C1051,'Location Data'!$C$5:$G$1004,5,FALSE)</f>
        <v>#N/A</v>
      </c>
    </row>
    <row r="1052" spans="1:12" x14ac:dyDescent="0.2">
      <c r="A1052">
        <f>'Shipment Data for Provisioning'!B1057</f>
        <v>0</v>
      </c>
      <c r="B1052">
        <f>'Shipment Data for Provisioning'!C1057</f>
        <v>0</v>
      </c>
      <c r="C1052">
        <f>'Shipment Data for Provisioning'!D1057</f>
        <v>0</v>
      </c>
      <c r="D1052">
        <f>'Shipment Data for Provisioning'!E1057</f>
        <v>0</v>
      </c>
      <c r="E1052">
        <f>'Shipment Data for Provisioning'!F1057</f>
        <v>0</v>
      </c>
      <c r="F1052">
        <f>'Shipment Data for Provisioning'!G1057</f>
        <v>0</v>
      </c>
      <c r="G1052">
        <f>'Shipment Data for Provisioning'!H1057</f>
        <v>0</v>
      </c>
      <c r="H1052">
        <f>'Shipment Data for Provisioning'!I1057</f>
        <v>0</v>
      </c>
      <c r="I1052" t="e">
        <f>VLOOKUP(B1052,'Location Data'!$C$5:$G$1004,4,FALSE)</f>
        <v>#N/A</v>
      </c>
      <c r="J1052" t="e">
        <f>VLOOKUP(B1052,'Location Data'!$C$5:$G$1004,5,FALSE)</f>
        <v>#N/A</v>
      </c>
      <c r="K1052" t="e">
        <f>VLOOKUP(C1052,'Location Data'!$C$5:$G$1004,4,FALSE)</f>
        <v>#N/A</v>
      </c>
      <c r="L1052" t="e">
        <f>VLOOKUP(C1052,'Location Data'!$C$5:$G$1004,5,FALSE)</f>
        <v>#N/A</v>
      </c>
    </row>
    <row r="1053" spans="1:12" x14ac:dyDescent="0.2">
      <c r="A1053">
        <f>'Shipment Data for Provisioning'!B1058</f>
        <v>0</v>
      </c>
      <c r="B1053">
        <f>'Shipment Data for Provisioning'!C1058</f>
        <v>0</v>
      </c>
      <c r="C1053">
        <f>'Shipment Data for Provisioning'!D1058</f>
        <v>0</v>
      </c>
      <c r="D1053">
        <f>'Shipment Data for Provisioning'!E1058</f>
        <v>0</v>
      </c>
      <c r="E1053">
        <f>'Shipment Data for Provisioning'!F1058</f>
        <v>0</v>
      </c>
      <c r="F1053">
        <f>'Shipment Data for Provisioning'!G1058</f>
        <v>0</v>
      </c>
      <c r="G1053">
        <f>'Shipment Data for Provisioning'!H1058</f>
        <v>0</v>
      </c>
      <c r="H1053">
        <f>'Shipment Data for Provisioning'!I1058</f>
        <v>0</v>
      </c>
      <c r="I1053" t="e">
        <f>VLOOKUP(B1053,'Location Data'!$C$5:$G$1004,4,FALSE)</f>
        <v>#N/A</v>
      </c>
      <c r="J1053" t="e">
        <f>VLOOKUP(B1053,'Location Data'!$C$5:$G$1004,5,FALSE)</f>
        <v>#N/A</v>
      </c>
      <c r="K1053" t="e">
        <f>VLOOKUP(C1053,'Location Data'!$C$5:$G$1004,4,FALSE)</f>
        <v>#N/A</v>
      </c>
      <c r="L1053" t="e">
        <f>VLOOKUP(C1053,'Location Data'!$C$5:$G$1004,5,FALSE)</f>
        <v>#N/A</v>
      </c>
    </row>
    <row r="1054" spans="1:12" x14ac:dyDescent="0.2">
      <c r="A1054">
        <f>'Shipment Data for Provisioning'!B1059</f>
        <v>0</v>
      </c>
      <c r="B1054">
        <f>'Shipment Data for Provisioning'!C1059</f>
        <v>0</v>
      </c>
      <c r="C1054">
        <f>'Shipment Data for Provisioning'!D1059</f>
        <v>0</v>
      </c>
      <c r="D1054">
        <f>'Shipment Data for Provisioning'!E1059</f>
        <v>0</v>
      </c>
      <c r="E1054">
        <f>'Shipment Data for Provisioning'!F1059</f>
        <v>0</v>
      </c>
      <c r="F1054">
        <f>'Shipment Data for Provisioning'!G1059</f>
        <v>0</v>
      </c>
      <c r="G1054">
        <f>'Shipment Data for Provisioning'!H1059</f>
        <v>0</v>
      </c>
      <c r="H1054">
        <f>'Shipment Data for Provisioning'!I1059</f>
        <v>0</v>
      </c>
      <c r="I1054" t="e">
        <f>VLOOKUP(B1054,'Location Data'!$C$5:$G$1004,4,FALSE)</f>
        <v>#N/A</v>
      </c>
      <c r="J1054" t="e">
        <f>VLOOKUP(B1054,'Location Data'!$C$5:$G$1004,5,FALSE)</f>
        <v>#N/A</v>
      </c>
      <c r="K1054" t="e">
        <f>VLOOKUP(C1054,'Location Data'!$C$5:$G$1004,4,FALSE)</f>
        <v>#N/A</v>
      </c>
      <c r="L1054" t="e">
        <f>VLOOKUP(C1054,'Location Data'!$C$5:$G$1004,5,FALSE)</f>
        <v>#N/A</v>
      </c>
    </row>
    <row r="1055" spans="1:12" x14ac:dyDescent="0.2">
      <c r="A1055">
        <f>'Shipment Data for Provisioning'!B1060</f>
        <v>0</v>
      </c>
      <c r="B1055">
        <f>'Shipment Data for Provisioning'!C1060</f>
        <v>0</v>
      </c>
      <c r="C1055">
        <f>'Shipment Data for Provisioning'!D1060</f>
        <v>0</v>
      </c>
      <c r="D1055">
        <f>'Shipment Data for Provisioning'!E1060</f>
        <v>0</v>
      </c>
      <c r="E1055">
        <f>'Shipment Data for Provisioning'!F1060</f>
        <v>0</v>
      </c>
      <c r="F1055">
        <f>'Shipment Data for Provisioning'!G1060</f>
        <v>0</v>
      </c>
      <c r="G1055">
        <f>'Shipment Data for Provisioning'!H1060</f>
        <v>0</v>
      </c>
      <c r="H1055">
        <f>'Shipment Data for Provisioning'!I1060</f>
        <v>0</v>
      </c>
      <c r="I1055" t="e">
        <f>VLOOKUP(B1055,'Location Data'!$C$5:$G$1004,4,FALSE)</f>
        <v>#N/A</v>
      </c>
      <c r="J1055" t="e">
        <f>VLOOKUP(B1055,'Location Data'!$C$5:$G$1004,5,FALSE)</f>
        <v>#N/A</v>
      </c>
      <c r="K1055" t="e">
        <f>VLOOKUP(C1055,'Location Data'!$C$5:$G$1004,4,FALSE)</f>
        <v>#N/A</v>
      </c>
      <c r="L1055" t="e">
        <f>VLOOKUP(C1055,'Location Data'!$C$5:$G$1004,5,FALSE)</f>
        <v>#N/A</v>
      </c>
    </row>
    <row r="1056" spans="1:12" x14ac:dyDescent="0.2">
      <c r="A1056">
        <f>'Shipment Data for Provisioning'!B1061</f>
        <v>0</v>
      </c>
      <c r="B1056">
        <f>'Shipment Data for Provisioning'!C1061</f>
        <v>0</v>
      </c>
      <c r="C1056">
        <f>'Shipment Data for Provisioning'!D1061</f>
        <v>0</v>
      </c>
      <c r="D1056">
        <f>'Shipment Data for Provisioning'!E1061</f>
        <v>0</v>
      </c>
      <c r="E1056">
        <f>'Shipment Data for Provisioning'!F1061</f>
        <v>0</v>
      </c>
      <c r="F1056">
        <f>'Shipment Data for Provisioning'!G1061</f>
        <v>0</v>
      </c>
      <c r="G1056">
        <f>'Shipment Data for Provisioning'!H1061</f>
        <v>0</v>
      </c>
      <c r="H1056">
        <f>'Shipment Data for Provisioning'!I1061</f>
        <v>0</v>
      </c>
      <c r="I1056" t="e">
        <f>VLOOKUP(B1056,'Location Data'!$C$5:$G$1004,4,FALSE)</f>
        <v>#N/A</v>
      </c>
      <c r="J1056" t="e">
        <f>VLOOKUP(B1056,'Location Data'!$C$5:$G$1004,5,FALSE)</f>
        <v>#N/A</v>
      </c>
      <c r="K1056" t="e">
        <f>VLOOKUP(C1056,'Location Data'!$C$5:$G$1004,4,FALSE)</f>
        <v>#N/A</v>
      </c>
      <c r="L1056" t="e">
        <f>VLOOKUP(C1056,'Location Data'!$C$5:$G$1004,5,FALSE)</f>
        <v>#N/A</v>
      </c>
    </row>
    <row r="1057" spans="1:12" x14ac:dyDescent="0.2">
      <c r="A1057">
        <f>'Shipment Data for Provisioning'!B1062</f>
        <v>0</v>
      </c>
      <c r="B1057">
        <f>'Shipment Data for Provisioning'!C1062</f>
        <v>0</v>
      </c>
      <c r="C1057">
        <f>'Shipment Data for Provisioning'!D1062</f>
        <v>0</v>
      </c>
      <c r="D1057">
        <f>'Shipment Data for Provisioning'!E1062</f>
        <v>0</v>
      </c>
      <c r="E1057">
        <f>'Shipment Data for Provisioning'!F1062</f>
        <v>0</v>
      </c>
      <c r="F1057">
        <f>'Shipment Data for Provisioning'!G1062</f>
        <v>0</v>
      </c>
      <c r="G1057">
        <f>'Shipment Data for Provisioning'!H1062</f>
        <v>0</v>
      </c>
      <c r="H1057">
        <f>'Shipment Data for Provisioning'!I1062</f>
        <v>0</v>
      </c>
      <c r="I1057" t="e">
        <f>VLOOKUP(B1057,'Location Data'!$C$5:$G$1004,4,FALSE)</f>
        <v>#N/A</v>
      </c>
      <c r="J1057" t="e">
        <f>VLOOKUP(B1057,'Location Data'!$C$5:$G$1004,5,FALSE)</f>
        <v>#N/A</v>
      </c>
      <c r="K1057" t="e">
        <f>VLOOKUP(C1057,'Location Data'!$C$5:$G$1004,4,FALSE)</f>
        <v>#N/A</v>
      </c>
      <c r="L1057" t="e">
        <f>VLOOKUP(C1057,'Location Data'!$C$5:$G$1004,5,FALSE)</f>
        <v>#N/A</v>
      </c>
    </row>
    <row r="1058" spans="1:12" x14ac:dyDescent="0.2">
      <c r="A1058">
        <f>'Shipment Data for Provisioning'!B1063</f>
        <v>0</v>
      </c>
      <c r="B1058">
        <f>'Shipment Data for Provisioning'!C1063</f>
        <v>0</v>
      </c>
      <c r="C1058">
        <f>'Shipment Data for Provisioning'!D1063</f>
        <v>0</v>
      </c>
      <c r="D1058">
        <f>'Shipment Data for Provisioning'!E1063</f>
        <v>0</v>
      </c>
      <c r="E1058">
        <f>'Shipment Data for Provisioning'!F1063</f>
        <v>0</v>
      </c>
      <c r="F1058">
        <f>'Shipment Data for Provisioning'!G1063</f>
        <v>0</v>
      </c>
      <c r="G1058">
        <f>'Shipment Data for Provisioning'!H1063</f>
        <v>0</v>
      </c>
      <c r="H1058">
        <f>'Shipment Data for Provisioning'!I1063</f>
        <v>0</v>
      </c>
      <c r="I1058" t="e">
        <f>VLOOKUP(B1058,'Location Data'!$C$5:$G$1004,4,FALSE)</f>
        <v>#N/A</v>
      </c>
      <c r="J1058" t="e">
        <f>VLOOKUP(B1058,'Location Data'!$C$5:$G$1004,5,FALSE)</f>
        <v>#N/A</v>
      </c>
      <c r="K1058" t="e">
        <f>VLOOKUP(C1058,'Location Data'!$C$5:$G$1004,4,FALSE)</f>
        <v>#N/A</v>
      </c>
      <c r="L1058" t="e">
        <f>VLOOKUP(C1058,'Location Data'!$C$5:$G$1004,5,FALSE)</f>
        <v>#N/A</v>
      </c>
    </row>
    <row r="1059" spans="1:12" x14ac:dyDescent="0.2">
      <c r="A1059">
        <f>'Shipment Data for Provisioning'!B1064</f>
        <v>0</v>
      </c>
      <c r="B1059">
        <f>'Shipment Data for Provisioning'!C1064</f>
        <v>0</v>
      </c>
      <c r="C1059">
        <f>'Shipment Data for Provisioning'!D1064</f>
        <v>0</v>
      </c>
      <c r="D1059">
        <f>'Shipment Data for Provisioning'!E1064</f>
        <v>0</v>
      </c>
      <c r="E1059">
        <f>'Shipment Data for Provisioning'!F1064</f>
        <v>0</v>
      </c>
      <c r="F1059">
        <f>'Shipment Data for Provisioning'!G1064</f>
        <v>0</v>
      </c>
      <c r="G1059">
        <f>'Shipment Data for Provisioning'!H1064</f>
        <v>0</v>
      </c>
      <c r="H1059">
        <f>'Shipment Data for Provisioning'!I1064</f>
        <v>0</v>
      </c>
      <c r="I1059" t="e">
        <f>VLOOKUP(B1059,'Location Data'!$C$5:$G$1004,4,FALSE)</f>
        <v>#N/A</v>
      </c>
      <c r="J1059" t="e">
        <f>VLOOKUP(B1059,'Location Data'!$C$5:$G$1004,5,FALSE)</f>
        <v>#N/A</v>
      </c>
      <c r="K1059" t="e">
        <f>VLOOKUP(C1059,'Location Data'!$C$5:$G$1004,4,FALSE)</f>
        <v>#N/A</v>
      </c>
      <c r="L1059" t="e">
        <f>VLOOKUP(C1059,'Location Data'!$C$5:$G$1004,5,FALSE)</f>
        <v>#N/A</v>
      </c>
    </row>
    <row r="1060" spans="1:12" x14ac:dyDescent="0.2">
      <c r="A1060">
        <f>'Shipment Data for Provisioning'!B1065</f>
        <v>0</v>
      </c>
      <c r="B1060">
        <f>'Shipment Data for Provisioning'!C1065</f>
        <v>0</v>
      </c>
      <c r="C1060">
        <f>'Shipment Data for Provisioning'!D1065</f>
        <v>0</v>
      </c>
      <c r="D1060">
        <f>'Shipment Data for Provisioning'!E1065</f>
        <v>0</v>
      </c>
      <c r="E1060">
        <f>'Shipment Data for Provisioning'!F1065</f>
        <v>0</v>
      </c>
      <c r="F1060">
        <f>'Shipment Data for Provisioning'!G1065</f>
        <v>0</v>
      </c>
      <c r="G1060">
        <f>'Shipment Data for Provisioning'!H1065</f>
        <v>0</v>
      </c>
      <c r="H1060">
        <f>'Shipment Data for Provisioning'!I1065</f>
        <v>0</v>
      </c>
      <c r="I1060" t="e">
        <f>VLOOKUP(B1060,'Location Data'!$C$5:$G$1004,4,FALSE)</f>
        <v>#N/A</v>
      </c>
      <c r="J1060" t="e">
        <f>VLOOKUP(B1060,'Location Data'!$C$5:$G$1004,5,FALSE)</f>
        <v>#N/A</v>
      </c>
      <c r="K1060" t="e">
        <f>VLOOKUP(C1060,'Location Data'!$C$5:$G$1004,4,FALSE)</f>
        <v>#N/A</v>
      </c>
      <c r="L1060" t="e">
        <f>VLOOKUP(C1060,'Location Data'!$C$5:$G$1004,5,FALSE)</f>
        <v>#N/A</v>
      </c>
    </row>
    <row r="1061" spans="1:12" x14ac:dyDescent="0.2">
      <c r="A1061">
        <f>'Shipment Data for Provisioning'!B1066</f>
        <v>0</v>
      </c>
      <c r="B1061">
        <f>'Shipment Data for Provisioning'!C1066</f>
        <v>0</v>
      </c>
      <c r="C1061">
        <f>'Shipment Data for Provisioning'!D1066</f>
        <v>0</v>
      </c>
      <c r="D1061">
        <f>'Shipment Data for Provisioning'!E1066</f>
        <v>0</v>
      </c>
      <c r="E1061">
        <f>'Shipment Data for Provisioning'!F1066</f>
        <v>0</v>
      </c>
      <c r="F1061">
        <f>'Shipment Data for Provisioning'!G1066</f>
        <v>0</v>
      </c>
      <c r="G1061">
        <f>'Shipment Data for Provisioning'!H1066</f>
        <v>0</v>
      </c>
      <c r="H1061">
        <f>'Shipment Data for Provisioning'!I1066</f>
        <v>0</v>
      </c>
      <c r="I1061" t="e">
        <f>VLOOKUP(B1061,'Location Data'!$C$5:$G$1004,4,FALSE)</f>
        <v>#N/A</v>
      </c>
      <c r="J1061" t="e">
        <f>VLOOKUP(B1061,'Location Data'!$C$5:$G$1004,5,FALSE)</f>
        <v>#N/A</v>
      </c>
      <c r="K1061" t="e">
        <f>VLOOKUP(C1061,'Location Data'!$C$5:$G$1004,4,FALSE)</f>
        <v>#N/A</v>
      </c>
      <c r="L1061" t="e">
        <f>VLOOKUP(C1061,'Location Data'!$C$5:$G$1004,5,FALSE)</f>
        <v>#N/A</v>
      </c>
    </row>
    <row r="1062" spans="1:12" x14ac:dyDescent="0.2">
      <c r="A1062">
        <f>'Shipment Data for Provisioning'!B1067</f>
        <v>0</v>
      </c>
      <c r="B1062">
        <f>'Shipment Data for Provisioning'!C1067</f>
        <v>0</v>
      </c>
      <c r="C1062">
        <f>'Shipment Data for Provisioning'!D1067</f>
        <v>0</v>
      </c>
      <c r="D1062">
        <f>'Shipment Data for Provisioning'!E1067</f>
        <v>0</v>
      </c>
      <c r="E1062">
        <f>'Shipment Data for Provisioning'!F1067</f>
        <v>0</v>
      </c>
      <c r="F1062">
        <f>'Shipment Data for Provisioning'!G1067</f>
        <v>0</v>
      </c>
      <c r="G1062">
        <f>'Shipment Data for Provisioning'!H1067</f>
        <v>0</v>
      </c>
      <c r="H1062">
        <f>'Shipment Data for Provisioning'!I1067</f>
        <v>0</v>
      </c>
      <c r="I1062" t="e">
        <f>VLOOKUP(B1062,'Location Data'!$C$5:$G$1004,4,FALSE)</f>
        <v>#N/A</v>
      </c>
      <c r="J1062" t="e">
        <f>VLOOKUP(B1062,'Location Data'!$C$5:$G$1004,5,FALSE)</f>
        <v>#N/A</v>
      </c>
      <c r="K1062" t="e">
        <f>VLOOKUP(C1062,'Location Data'!$C$5:$G$1004,4,FALSE)</f>
        <v>#N/A</v>
      </c>
      <c r="L1062" t="e">
        <f>VLOOKUP(C1062,'Location Data'!$C$5:$G$1004,5,FALSE)</f>
        <v>#N/A</v>
      </c>
    </row>
    <row r="1063" spans="1:12" x14ac:dyDescent="0.2">
      <c r="A1063">
        <f>'Shipment Data for Provisioning'!B1068</f>
        <v>0</v>
      </c>
      <c r="B1063">
        <f>'Shipment Data for Provisioning'!C1068</f>
        <v>0</v>
      </c>
      <c r="C1063">
        <f>'Shipment Data for Provisioning'!D1068</f>
        <v>0</v>
      </c>
      <c r="D1063">
        <f>'Shipment Data for Provisioning'!E1068</f>
        <v>0</v>
      </c>
      <c r="E1063">
        <f>'Shipment Data for Provisioning'!F1068</f>
        <v>0</v>
      </c>
      <c r="F1063">
        <f>'Shipment Data for Provisioning'!G1068</f>
        <v>0</v>
      </c>
      <c r="G1063">
        <f>'Shipment Data for Provisioning'!H1068</f>
        <v>0</v>
      </c>
      <c r="H1063">
        <f>'Shipment Data for Provisioning'!I1068</f>
        <v>0</v>
      </c>
      <c r="I1063" t="e">
        <f>VLOOKUP(B1063,'Location Data'!$C$5:$G$1004,4,FALSE)</f>
        <v>#N/A</v>
      </c>
      <c r="J1063" t="e">
        <f>VLOOKUP(B1063,'Location Data'!$C$5:$G$1004,5,FALSE)</f>
        <v>#N/A</v>
      </c>
      <c r="K1063" t="e">
        <f>VLOOKUP(C1063,'Location Data'!$C$5:$G$1004,4,FALSE)</f>
        <v>#N/A</v>
      </c>
      <c r="L1063" t="e">
        <f>VLOOKUP(C1063,'Location Data'!$C$5:$G$1004,5,FALSE)</f>
        <v>#N/A</v>
      </c>
    </row>
    <row r="1064" spans="1:12" x14ac:dyDescent="0.2">
      <c r="A1064">
        <f>'Shipment Data for Provisioning'!B1069</f>
        <v>0</v>
      </c>
      <c r="B1064">
        <f>'Shipment Data for Provisioning'!C1069</f>
        <v>0</v>
      </c>
      <c r="C1064">
        <f>'Shipment Data for Provisioning'!D1069</f>
        <v>0</v>
      </c>
      <c r="D1064">
        <f>'Shipment Data for Provisioning'!E1069</f>
        <v>0</v>
      </c>
      <c r="E1064">
        <f>'Shipment Data for Provisioning'!F1069</f>
        <v>0</v>
      </c>
      <c r="F1064">
        <f>'Shipment Data for Provisioning'!G1069</f>
        <v>0</v>
      </c>
      <c r="G1064">
        <f>'Shipment Data for Provisioning'!H1069</f>
        <v>0</v>
      </c>
      <c r="H1064">
        <f>'Shipment Data for Provisioning'!I1069</f>
        <v>0</v>
      </c>
      <c r="I1064" t="e">
        <f>VLOOKUP(B1064,'Location Data'!$C$5:$G$1004,4,FALSE)</f>
        <v>#N/A</v>
      </c>
      <c r="J1064" t="e">
        <f>VLOOKUP(B1064,'Location Data'!$C$5:$G$1004,5,FALSE)</f>
        <v>#N/A</v>
      </c>
      <c r="K1064" t="e">
        <f>VLOOKUP(C1064,'Location Data'!$C$5:$G$1004,4,FALSE)</f>
        <v>#N/A</v>
      </c>
      <c r="L1064" t="e">
        <f>VLOOKUP(C1064,'Location Data'!$C$5:$G$1004,5,FALSE)</f>
        <v>#N/A</v>
      </c>
    </row>
    <row r="1065" spans="1:12" x14ac:dyDescent="0.2">
      <c r="A1065">
        <f>'Shipment Data for Provisioning'!B1070</f>
        <v>0</v>
      </c>
      <c r="B1065">
        <f>'Shipment Data for Provisioning'!C1070</f>
        <v>0</v>
      </c>
      <c r="C1065">
        <f>'Shipment Data for Provisioning'!D1070</f>
        <v>0</v>
      </c>
      <c r="D1065">
        <f>'Shipment Data for Provisioning'!E1070</f>
        <v>0</v>
      </c>
      <c r="E1065">
        <f>'Shipment Data for Provisioning'!F1070</f>
        <v>0</v>
      </c>
      <c r="F1065">
        <f>'Shipment Data for Provisioning'!G1070</f>
        <v>0</v>
      </c>
      <c r="G1065">
        <f>'Shipment Data for Provisioning'!H1070</f>
        <v>0</v>
      </c>
      <c r="H1065">
        <f>'Shipment Data for Provisioning'!I1070</f>
        <v>0</v>
      </c>
      <c r="I1065" t="e">
        <f>VLOOKUP(B1065,'Location Data'!$C$5:$G$1004,4,FALSE)</f>
        <v>#N/A</v>
      </c>
      <c r="J1065" t="e">
        <f>VLOOKUP(B1065,'Location Data'!$C$5:$G$1004,5,FALSE)</f>
        <v>#N/A</v>
      </c>
      <c r="K1065" t="e">
        <f>VLOOKUP(C1065,'Location Data'!$C$5:$G$1004,4,FALSE)</f>
        <v>#N/A</v>
      </c>
      <c r="L1065" t="e">
        <f>VLOOKUP(C1065,'Location Data'!$C$5:$G$1004,5,FALSE)</f>
        <v>#N/A</v>
      </c>
    </row>
    <row r="1066" spans="1:12" x14ac:dyDescent="0.2">
      <c r="A1066">
        <f>'Shipment Data for Provisioning'!B1071</f>
        <v>0</v>
      </c>
      <c r="B1066">
        <f>'Shipment Data for Provisioning'!C1071</f>
        <v>0</v>
      </c>
      <c r="C1066">
        <f>'Shipment Data for Provisioning'!D1071</f>
        <v>0</v>
      </c>
      <c r="D1066">
        <f>'Shipment Data for Provisioning'!E1071</f>
        <v>0</v>
      </c>
      <c r="E1066">
        <f>'Shipment Data for Provisioning'!F1071</f>
        <v>0</v>
      </c>
      <c r="F1066">
        <f>'Shipment Data for Provisioning'!G1071</f>
        <v>0</v>
      </c>
      <c r="G1066">
        <f>'Shipment Data for Provisioning'!H1071</f>
        <v>0</v>
      </c>
      <c r="H1066">
        <f>'Shipment Data for Provisioning'!I1071</f>
        <v>0</v>
      </c>
      <c r="I1066" t="e">
        <f>VLOOKUP(B1066,'Location Data'!$C$5:$G$1004,4,FALSE)</f>
        <v>#N/A</v>
      </c>
      <c r="J1066" t="e">
        <f>VLOOKUP(B1066,'Location Data'!$C$5:$G$1004,5,FALSE)</f>
        <v>#N/A</v>
      </c>
      <c r="K1066" t="e">
        <f>VLOOKUP(C1066,'Location Data'!$C$5:$G$1004,4,FALSE)</f>
        <v>#N/A</v>
      </c>
      <c r="L1066" t="e">
        <f>VLOOKUP(C1066,'Location Data'!$C$5:$G$1004,5,FALSE)</f>
        <v>#N/A</v>
      </c>
    </row>
    <row r="1067" spans="1:12" x14ac:dyDescent="0.2">
      <c r="A1067">
        <f>'Shipment Data for Provisioning'!B1072</f>
        <v>0</v>
      </c>
      <c r="B1067">
        <f>'Shipment Data for Provisioning'!C1072</f>
        <v>0</v>
      </c>
      <c r="C1067">
        <f>'Shipment Data for Provisioning'!D1072</f>
        <v>0</v>
      </c>
      <c r="D1067">
        <f>'Shipment Data for Provisioning'!E1072</f>
        <v>0</v>
      </c>
      <c r="E1067">
        <f>'Shipment Data for Provisioning'!F1072</f>
        <v>0</v>
      </c>
      <c r="F1067">
        <f>'Shipment Data for Provisioning'!G1072</f>
        <v>0</v>
      </c>
      <c r="G1067">
        <f>'Shipment Data for Provisioning'!H1072</f>
        <v>0</v>
      </c>
      <c r="H1067">
        <f>'Shipment Data for Provisioning'!I1072</f>
        <v>0</v>
      </c>
      <c r="I1067" t="e">
        <f>VLOOKUP(B1067,'Location Data'!$C$5:$G$1004,4,FALSE)</f>
        <v>#N/A</v>
      </c>
      <c r="J1067" t="e">
        <f>VLOOKUP(B1067,'Location Data'!$C$5:$G$1004,5,FALSE)</f>
        <v>#N/A</v>
      </c>
      <c r="K1067" t="e">
        <f>VLOOKUP(C1067,'Location Data'!$C$5:$G$1004,4,FALSE)</f>
        <v>#N/A</v>
      </c>
      <c r="L1067" t="e">
        <f>VLOOKUP(C1067,'Location Data'!$C$5:$G$1004,5,FALSE)</f>
        <v>#N/A</v>
      </c>
    </row>
    <row r="1068" spans="1:12" x14ac:dyDescent="0.2">
      <c r="A1068">
        <f>'Shipment Data for Provisioning'!B1073</f>
        <v>0</v>
      </c>
      <c r="B1068">
        <f>'Shipment Data for Provisioning'!C1073</f>
        <v>0</v>
      </c>
      <c r="C1068">
        <f>'Shipment Data for Provisioning'!D1073</f>
        <v>0</v>
      </c>
      <c r="D1068">
        <f>'Shipment Data for Provisioning'!E1073</f>
        <v>0</v>
      </c>
      <c r="E1068">
        <f>'Shipment Data for Provisioning'!F1073</f>
        <v>0</v>
      </c>
      <c r="F1068">
        <f>'Shipment Data for Provisioning'!G1073</f>
        <v>0</v>
      </c>
      <c r="G1068">
        <f>'Shipment Data for Provisioning'!H1073</f>
        <v>0</v>
      </c>
      <c r="H1068">
        <f>'Shipment Data for Provisioning'!I1073</f>
        <v>0</v>
      </c>
      <c r="I1068" t="e">
        <f>VLOOKUP(B1068,'Location Data'!$C$5:$G$1004,4,FALSE)</f>
        <v>#N/A</v>
      </c>
      <c r="J1068" t="e">
        <f>VLOOKUP(B1068,'Location Data'!$C$5:$G$1004,5,FALSE)</f>
        <v>#N/A</v>
      </c>
      <c r="K1068" t="e">
        <f>VLOOKUP(C1068,'Location Data'!$C$5:$G$1004,4,FALSE)</f>
        <v>#N/A</v>
      </c>
      <c r="L1068" t="e">
        <f>VLOOKUP(C1068,'Location Data'!$C$5:$G$1004,5,FALSE)</f>
        <v>#N/A</v>
      </c>
    </row>
    <row r="1069" spans="1:12" x14ac:dyDescent="0.2">
      <c r="A1069">
        <f>'Shipment Data for Provisioning'!B1074</f>
        <v>0</v>
      </c>
      <c r="B1069">
        <f>'Shipment Data for Provisioning'!C1074</f>
        <v>0</v>
      </c>
      <c r="C1069">
        <f>'Shipment Data for Provisioning'!D1074</f>
        <v>0</v>
      </c>
      <c r="D1069">
        <f>'Shipment Data for Provisioning'!E1074</f>
        <v>0</v>
      </c>
      <c r="E1069">
        <f>'Shipment Data for Provisioning'!F1074</f>
        <v>0</v>
      </c>
      <c r="F1069">
        <f>'Shipment Data for Provisioning'!G1074</f>
        <v>0</v>
      </c>
      <c r="G1069">
        <f>'Shipment Data for Provisioning'!H1074</f>
        <v>0</v>
      </c>
      <c r="H1069">
        <f>'Shipment Data for Provisioning'!I1074</f>
        <v>0</v>
      </c>
      <c r="I1069" t="e">
        <f>VLOOKUP(B1069,'Location Data'!$C$5:$G$1004,4,FALSE)</f>
        <v>#N/A</v>
      </c>
      <c r="J1069" t="e">
        <f>VLOOKUP(B1069,'Location Data'!$C$5:$G$1004,5,FALSE)</f>
        <v>#N/A</v>
      </c>
      <c r="K1069" t="e">
        <f>VLOOKUP(C1069,'Location Data'!$C$5:$G$1004,4,FALSE)</f>
        <v>#N/A</v>
      </c>
      <c r="L1069" t="e">
        <f>VLOOKUP(C1069,'Location Data'!$C$5:$G$1004,5,FALSE)</f>
        <v>#N/A</v>
      </c>
    </row>
    <row r="1070" spans="1:12" x14ac:dyDescent="0.2">
      <c r="A1070">
        <f>'Shipment Data for Provisioning'!B1075</f>
        <v>0</v>
      </c>
      <c r="B1070">
        <f>'Shipment Data for Provisioning'!C1075</f>
        <v>0</v>
      </c>
      <c r="C1070">
        <f>'Shipment Data for Provisioning'!D1075</f>
        <v>0</v>
      </c>
      <c r="D1070">
        <f>'Shipment Data for Provisioning'!E1075</f>
        <v>0</v>
      </c>
      <c r="E1070">
        <f>'Shipment Data for Provisioning'!F1075</f>
        <v>0</v>
      </c>
      <c r="F1070">
        <f>'Shipment Data for Provisioning'!G1075</f>
        <v>0</v>
      </c>
      <c r="G1070">
        <f>'Shipment Data for Provisioning'!H1075</f>
        <v>0</v>
      </c>
      <c r="H1070">
        <f>'Shipment Data for Provisioning'!I1075</f>
        <v>0</v>
      </c>
      <c r="I1070" t="e">
        <f>VLOOKUP(B1070,'Location Data'!$C$5:$G$1004,4,FALSE)</f>
        <v>#N/A</v>
      </c>
      <c r="J1070" t="e">
        <f>VLOOKUP(B1070,'Location Data'!$C$5:$G$1004,5,FALSE)</f>
        <v>#N/A</v>
      </c>
      <c r="K1070" t="e">
        <f>VLOOKUP(C1070,'Location Data'!$C$5:$G$1004,4,FALSE)</f>
        <v>#N/A</v>
      </c>
      <c r="L1070" t="e">
        <f>VLOOKUP(C1070,'Location Data'!$C$5:$G$1004,5,FALSE)</f>
        <v>#N/A</v>
      </c>
    </row>
    <row r="1071" spans="1:12" x14ac:dyDescent="0.2">
      <c r="A1071">
        <f>'Shipment Data for Provisioning'!B1076</f>
        <v>0</v>
      </c>
      <c r="B1071">
        <f>'Shipment Data for Provisioning'!C1076</f>
        <v>0</v>
      </c>
      <c r="C1071">
        <f>'Shipment Data for Provisioning'!D1076</f>
        <v>0</v>
      </c>
      <c r="D1071">
        <f>'Shipment Data for Provisioning'!E1076</f>
        <v>0</v>
      </c>
      <c r="E1071">
        <f>'Shipment Data for Provisioning'!F1076</f>
        <v>0</v>
      </c>
      <c r="F1071">
        <f>'Shipment Data for Provisioning'!G1076</f>
        <v>0</v>
      </c>
      <c r="G1071">
        <f>'Shipment Data for Provisioning'!H1076</f>
        <v>0</v>
      </c>
      <c r="H1071">
        <f>'Shipment Data for Provisioning'!I1076</f>
        <v>0</v>
      </c>
      <c r="I1071" t="e">
        <f>VLOOKUP(B1071,'Location Data'!$C$5:$G$1004,4,FALSE)</f>
        <v>#N/A</v>
      </c>
      <c r="J1071" t="e">
        <f>VLOOKUP(B1071,'Location Data'!$C$5:$G$1004,5,FALSE)</f>
        <v>#N/A</v>
      </c>
      <c r="K1071" t="e">
        <f>VLOOKUP(C1071,'Location Data'!$C$5:$G$1004,4,FALSE)</f>
        <v>#N/A</v>
      </c>
      <c r="L1071" t="e">
        <f>VLOOKUP(C1071,'Location Data'!$C$5:$G$1004,5,FALSE)</f>
        <v>#N/A</v>
      </c>
    </row>
    <row r="1072" spans="1:12" x14ac:dyDescent="0.2">
      <c r="A1072">
        <f>'Shipment Data for Provisioning'!B1077</f>
        <v>0</v>
      </c>
      <c r="B1072">
        <f>'Shipment Data for Provisioning'!C1077</f>
        <v>0</v>
      </c>
      <c r="C1072">
        <f>'Shipment Data for Provisioning'!D1077</f>
        <v>0</v>
      </c>
      <c r="D1072">
        <f>'Shipment Data for Provisioning'!E1077</f>
        <v>0</v>
      </c>
      <c r="E1072">
        <f>'Shipment Data for Provisioning'!F1077</f>
        <v>0</v>
      </c>
      <c r="F1072">
        <f>'Shipment Data for Provisioning'!G1077</f>
        <v>0</v>
      </c>
      <c r="G1072">
        <f>'Shipment Data for Provisioning'!H1077</f>
        <v>0</v>
      </c>
      <c r="H1072">
        <f>'Shipment Data for Provisioning'!I1077</f>
        <v>0</v>
      </c>
      <c r="I1072" t="e">
        <f>VLOOKUP(B1072,'Location Data'!$C$5:$G$1004,4,FALSE)</f>
        <v>#N/A</v>
      </c>
      <c r="J1072" t="e">
        <f>VLOOKUP(B1072,'Location Data'!$C$5:$G$1004,5,FALSE)</f>
        <v>#N/A</v>
      </c>
      <c r="K1072" t="e">
        <f>VLOOKUP(C1072,'Location Data'!$C$5:$G$1004,4,FALSE)</f>
        <v>#N/A</v>
      </c>
      <c r="L1072" t="e">
        <f>VLOOKUP(C1072,'Location Data'!$C$5:$G$1004,5,FALSE)</f>
        <v>#N/A</v>
      </c>
    </row>
    <row r="1073" spans="1:12" x14ac:dyDescent="0.2">
      <c r="A1073">
        <f>'Shipment Data for Provisioning'!B1078</f>
        <v>0</v>
      </c>
      <c r="B1073">
        <f>'Shipment Data for Provisioning'!C1078</f>
        <v>0</v>
      </c>
      <c r="C1073">
        <f>'Shipment Data for Provisioning'!D1078</f>
        <v>0</v>
      </c>
      <c r="D1073">
        <f>'Shipment Data for Provisioning'!E1078</f>
        <v>0</v>
      </c>
      <c r="E1073">
        <f>'Shipment Data for Provisioning'!F1078</f>
        <v>0</v>
      </c>
      <c r="F1073">
        <f>'Shipment Data for Provisioning'!G1078</f>
        <v>0</v>
      </c>
      <c r="G1073">
        <f>'Shipment Data for Provisioning'!H1078</f>
        <v>0</v>
      </c>
      <c r="H1073">
        <f>'Shipment Data for Provisioning'!I1078</f>
        <v>0</v>
      </c>
      <c r="I1073" t="e">
        <f>VLOOKUP(B1073,'Location Data'!$C$5:$G$1004,4,FALSE)</f>
        <v>#N/A</v>
      </c>
      <c r="J1073" t="e">
        <f>VLOOKUP(B1073,'Location Data'!$C$5:$G$1004,5,FALSE)</f>
        <v>#N/A</v>
      </c>
      <c r="K1073" t="e">
        <f>VLOOKUP(C1073,'Location Data'!$C$5:$G$1004,4,FALSE)</f>
        <v>#N/A</v>
      </c>
      <c r="L1073" t="e">
        <f>VLOOKUP(C1073,'Location Data'!$C$5:$G$1004,5,FALSE)</f>
        <v>#N/A</v>
      </c>
    </row>
    <row r="1074" spans="1:12" x14ac:dyDescent="0.2">
      <c r="A1074">
        <f>'Shipment Data for Provisioning'!B1079</f>
        <v>0</v>
      </c>
      <c r="B1074">
        <f>'Shipment Data for Provisioning'!C1079</f>
        <v>0</v>
      </c>
      <c r="C1074">
        <f>'Shipment Data for Provisioning'!D1079</f>
        <v>0</v>
      </c>
      <c r="D1074">
        <f>'Shipment Data for Provisioning'!E1079</f>
        <v>0</v>
      </c>
      <c r="E1074">
        <f>'Shipment Data for Provisioning'!F1079</f>
        <v>0</v>
      </c>
      <c r="F1074">
        <f>'Shipment Data for Provisioning'!G1079</f>
        <v>0</v>
      </c>
      <c r="G1074">
        <f>'Shipment Data for Provisioning'!H1079</f>
        <v>0</v>
      </c>
      <c r="H1074">
        <f>'Shipment Data for Provisioning'!I1079</f>
        <v>0</v>
      </c>
      <c r="I1074" t="e">
        <f>VLOOKUP(B1074,'Location Data'!$C$5:$G$1004,4,FALSE)</f>
        <v>#N/A</v>
      </c>
      <c r="J1074" t="e">
        <f>VLOOKUP(B1074,'Location Data'!$C$5:$G$1004,5,FALSE)</f>
        <v>#N/A</v>
      </c>
      <c r="K1074" t="e">
        <f>VLOOKUP(C1074,'Location Data'!$C$5:$G$1004,4,FALSE)</f>
        <v>#N/A</v>
      </c>
      <c r="L1074" t="e">
        <f>VLOOKUP(C1074,'Location Data'!$C$5:$G$1004,5,FALSE)</f>
        <v>#N/A</v>
      </c>
    </row>
    <row r="1075" spans="1:12" x14ac:dyDescent="0.2">
      <c r="A1075">
        <f>'Shipment Data for Provisioning'!B1080</f>
        <v>0</v>
      </c>
      <c r="B1075">
        <f>'Shipment Data for Provisioning'!C1080</f>
        <v>0</v>
      </c>
      <c r="C1075">
        <f>'Shipment Data for Provisioning'!D1080</f>
        <v>0</v>
      </c>
      <c r="D1075">
        <f>'Shipment Data for Provisioning'!E1080</f>
        <v>0</v>
      </c>
      <c r="E1075">
        <f>'Shipment Data for Provisioning'!F1080</f>
        <v>0</v>
      </c>
      <c r="F1075">
        <f>'Shipment Data for Provisioning'!G1080</f>
        <v>0</v>
      </c>
      <c r="G1075">
        <f>'Shipment Data for Provisioning'!H1080</f>
        <v>0</v>
      </c>
      <c r="H1075">
        <f>'Shipment Data for Provisioning'!I1080</f>
        <v>0</v>
      </c>
      <c r="I1075" t="e">
        <f>VLOOKUP(B1075,'Location Data'!$C$5:$G$1004,4,FALSE)</f>
        <v>#N/A</v>
      </c>
      <c r="J1075" t="e">
        <f>VLOOKUP(B1075,'Location Data'!$C$5:$G$1004,5,FALSE)</f>
        <v>#N/A</v>
      </c>
      <c r="K1075" t="e">
        <f>VLOOKUP(C1075,'Location Data'!$C$5:$G$1004,4,FALSE)</f>
        <v>#N/A</v>
      </c>
      <c r="L1075" t="e">
        <f>VLOOKUP(C1075,'Location Data'!$C$5:$G$1004,5,FALSE)</f>
        <v>#N/A</v>
      </c>
    </row>
    <row r="1076" spans="1:12" x14ac:dyDescent="0.2">
      <c r="A1076">
        <f>'Shipment Data for Provisioning'!B1081</f>
        <v>0</v>
      </c>
      <c r="B1076">
        <f>'Shipment Data for Provisioning'!C1081</f>
        <v>0</v>
      </c>
      <c r="C1076">
        <f>'Shipment Data for Provisioning'!D1081</f>
        <v>0</v>
      </c>
      <c r="D1076">
        <f>'Shipment Data for Provisioning'!E1081</f>
        <v>0</v>
      </c>
      <c r="E1076">
        <f>'Shipment Data for Provisioning'!F1081</f>
        <v>0</v>
      </c>
      <c r="F1076">
        <f>'Shipment Data for Provisioning'!G1081</f>
        <v>0</v>
      </c>
      <c r="G1076">
        <f>'Shipment Data for Provisioning'!H1081</f>
        <v>0</v>
      </c>
      <c r="H1076">
        <f>'Shipment Data for Provisioning'!I1081</f>
        <v>0</v>
      </c>
      <c r="I1076" t="e">
        <f>VLOOKUP(B1076,'Location Data'!$C$5:$G$1004,4,FALSE)</f>
        <v>#N/A</v>
      </c>
      <c r="J1076" t="e">
        <f>VLOOKUP(B1076,'Location Data'!$C$5:$G$1004,5,FALSE)</f>
        <v>#N/A</v>
      </c>
      <c r="K1076" t="e">
        <f>VLOOKUP(C1076,'Location Data'!$C$5:$G$1004,4,FALSE)</f>
        <v>#N/A</v>
      </c>
      <c r="L1076" t="e">
        <f>VLOOKUP(C1076,'Location Data'!$C$5:$G$1004,5,FALSE)</f>
        <v>#N/A</v>
      </c>
    </row>
    <row r="1077" spans="1:12" x14ac:dyDescent="0.2">
      <c r="A1077">
        <f>'Shipment Data for Provisioning'!B1082</f>
        <v>0</v>
      </c>
      <c r="B1077">
        <f>'Shipment Data for Provisioning'!C1082</f>
        <v>0</v>
      </c>
      <c r="C1077">
        <f>'Shipment Data for Provisioning'!D1082</f>
        <v>0</v>
      </c>
      <c r="D1077">
        <f>'Shipment Data for Provisioning'!E1082</f>
        <v>0</v>
      </c>
      <c r="E1077">
        <f>'Shipment Data for Provisioning'!F1082</f>
        <v>0</v>
      </c>
      <c r="F1077">
        <f>'Shipment Data for Provisioning'!G1082</f>
        <v>0</v>
      </c>
      <c r="G1077">
        <f>'Shipment Data for Provisioning'!H1082</f>
        <v>0</v>
      </c>
      <c r="H1077">
        <f>'Shipment Data for Provisioning'!I1082</f>
        <v>0</v>
      </c>
      <c r="I1077" t="e">
        <f>VLOOKUP(B1077,'Location Data'!$C$5:$G$1004,4,FALSE)</f>
        <v>#N/A</v>
      </c>
      <c r="J1077" t="e">
        <f>VLOOKUP(B1077,'Location Data'!$C$5:$G$1004,5,FALSE)</f>
        <v>#N/A</v>
      </c>
      <c r="K1077" t="e">
        <f>VLOOKUP(C1077,'Location Data'!$C$5:$G$1004,4,FALSE)</f>
        <v>#N/A</v>
      </c>
      <c r="L1077" t="e">
        <f>VLOOKUP(C1077,'Location Data'!$C$5:$G$1004,5,FALSE)</f>
        <v>#N/A</v>
      </c>
    </row>
    <row r="1078" spans="1:12" x14ac:dyDescent="0.2">
      <c r="A1078">
        <f>'Shipment Data for Provisioning'!B1083</f>
        <v>0</v>
      </c>
      <c r="B1078">
        <f>'Shipment Data for Provisioning'!C1083</f>
        <v>0</v>
      </c>
      <c r="C1078">
        <f>'Shipment Data for Provisioning'!D1083</f>
        <v>0</v>
      </c>
      <c r="D1078">
        <f>'Shipment Data for Provisioning'!E1083</f>
        <v>0</v>
      </c>
      <c r="E1078">
        <f>'Shipment Data for Provisioning'!F1083</f>
        <v>0</v>
      </c>
      <c r="F1078">
        <f>'Shipment Data for Provisioning'!G1083</f>
        <v>0</v>
      </c>
      <c r="G1078">
        <f>'Shipment Data for Provisioning'!H1083</f>
        <v>0</v>
      </c>
      <c r="H1078">
        <f>'Shipment Data for Provisioning'!I1083</f>
        <v>0</v>
      </c>
      <c r="I1078" t="e">
        <f>VLOOKUP(B1078,'Location Data'!$C$5:$G$1004,4,FALSE)</f>
        <v>#N/A</v>
      </c>
      <c r="J1078" t="e">
        <f>VLOOKUP(B1078,'Location Data'!$C$5:$G$1004,5,FALSE)</f>
        <v>#N/A</v>
      </c>
      <c r="K1078" t="e">
        <f>VLOOKUP(C1078,'Location Data'!$C$5:$G$1004,4,FALSE)</f>
        <v>#N/A</v>
      </c>
      <c r="L1078" t="e">
        <f>VLOOKUP(C1078,'Location Data'!$C$5:$G$1004,5,FALSE)</f>
        <v>#N/A</v>
      </c>
    </row>
    <row r="1079" spans="1:12" x14ac:dyDescent="0.2">
      <c r="A1079">
        <f>'Shipment Data for Provisioning'!B1084</f>
        <v>0</v>
      </c>
      <c r="B1079">
        <f>'Shipment Data for Provisioning'!C1084</f>
        <v>0</v>
      </c>
      <c r="C1079">
        <f>'Shipment Data for Provisioning'!D1084</f>
        <v>0</v>
      </c>
      <c r="D1079">
        <f>'Shipment Data for Provisioning'!E1084</f>
        <v>0</v>
      </c>
      <c r="E1079">
        <f>'Shipment Data for Provisioning'!F1084</f>
        <v>0</v>
      </c>
      <c r="F1079">
        <f>'Shipment Data for Provisioning'!G1084</f>
        <v>0</v>
      </c>
      <c r="G1079">
        <f>'Shipment Data for Provisioning'!H1084</f>
        <v>0</v>
      </c>
      <c r="H1079">
        <f>'Shipment Data for Provisioning'!I1084</f>
        <v>0</v>
      </c>
      <c r="I1079" t="e">
        <f>VLOOKUP(B1079,'Location Data'!$C$5:$G$1004,4,FALSE)</f>
        <v>#N/A</v>
      </c>
      <c r="J1079" t="e">
        <f>VLOOKUP(B1079,'Location Data'!$C$5:$G$1004,5,FALSE)</f>
        <v>#N/A</v>
      </c>
      <c r="K1079" t="e">
        <f>VLOOKUP(C1079,'Location Data'!$C$5:$G$1004,4,FALSE)</f>
        <v>#N/A</v>
      </c>
      <c r="L1079" t="e">
        <f>VLOOKUP(C1079,'Location Data'!$C$5:$G$1004,5,FALSE)</f>
        <v>#N/A</v>
      </c>
    </row>
    <row r="1080" spans="1:12" x14ac:dyDescent="0.2">
      <c r="A1080">
        <f>'Shipment Data for Provisioning'!B1085</f>
        <v>0</v>
      </c>
      <c r="B1080">
        <f>'Shipment Data for Provisioning'!C1085</f>
        <v>0</v>
      </c>
      <c r="C1080">
        <f>'Shipment Data for Provisioning'!D1085</f>
        <v>0</v>
      </c>
      <c r="D1080">
        <f>'Shipment Data for Provisioning'!E1085</f>
        <v>0</v>
      </c>
      <c r="E1080">
        <f>'Shipment Data for Provisioning'!F1085</f>
        <v>0</v>
      </c>
      <c r="F1080">
        <f>'Shipment Data for Provisioning'!G1085</f>
        <v>0</v>
      </c>
      <c r="G1080">
        <f>'Shipment Data for Provisioning'!H1085</f>
        <v>0</v>
      </c>
      <c r="H1080">
        <f>'Shipment Data for Provisioning'!I1085</f>
        <v>0</v>
      </c>
      <c r="I1080" t="e">
        <f>VLOOKUP(B1080,'Location Data'!$C$5:$G$1004,4,FALSE)</f>
        <v>#N/A</v>
      </c>
      <c r="J1080" t="e">
        <f>VLOOKUP(B1080,'Location Data'!$C$5:$G$1004,5,FALSE)</f>
        <v>#N/A</v>
      </c>
      <c r="K1080" t="e">
        <f>VLOOKUP(C1080,'Location Data'!$C$5:$G$1004,4,FALSE)</f>
        <v>#N/A</v>
      </c>
      <c r="L1080" t="e">
        <f>VLOOKUP(C1080,'Location Data'!$C$5:$G$1004,5,FALSE)</f>
        <v>#N/A</v>
      </c>
    </row>
    <row r="1081" spans="1:12" x14ac:dyDescent="0.2">
      <c r="A1081">
        <f>'Shipment Data for Provisioning'!B1086</f>
        <v>0</v>
      </c>
      <c r="B1081">
        <f>'Shipment Data for Provisioning'!C1086</f>
        <v>0</v>
      </c>
      <c r="C1081">
        <f>'Shipment Data for Provisioning'!D1086</f>
        <v>0</v>
      </c>
      <c r="D1081">
        <f>'Shipment Data for Provisioning'!E1086</f>
        <v>0</v>
      </c>
      <c r="E1081">
        <f>'Shipment Data for Provisioning'!F1086</f>
        <v>0</v>
      </c>
      <c r="F1081">
        <f>'Shipment Data for Provisioning'!G1086</f>
        <v>0</v>
      </c>
      <c r="G1081">
        <f>'Shipment Data for Provisioning'!H1086</f>
        <v>0</v>
      </c>
      <c r="H1081">
        <f>'Shipment Data for Provisioning'!I1086</f>
        <v>0</v>
      </c>
      <c r="I1081" t="e">
        <f>VLOOKUP(B1081,'Location Data'!$C$5:$G$1004,4,FALSE)</f>
        <v>#N/A</v>
      </c>
      <c r="J1081" t="e">
        <f>VLOOKUP(B1081,'Location Data'!$C$5:$G$1004,5,FALSE)</f>
        <v>#N/A</v>
      </c>
      <c r="K1081" t="e">
        <f>VLOOKUP(C1081,'Location Data'!$C$5:$G$1004,4,FALSE)</f>
        <v>#N/A</v>
      </c>
      <c r="L1081" t="e">
        <f>VLOOKUP(C1081,'Location Data'!$C$5:$G$1004,5,FALSE)</f>
        <v>#N/A</v>
      </c>
    </row>
    <row r="1082" spans="1:12" x14ac:dyDescent="0.2">
      <c r="A1082">
        <f>'Shipment Data for Provisioning'!B1087</f>
        <v>0</v>
      </c>
      <c r="B1082">
        <f>'Shipment Data for Provisioning'!C1087</f>
        <v>0</v>
      </c>
      <c r="C1082">
        <f>'Shipment Data for Provisioning'!D1087</f>
        <v>0</v>
      </c>
      <c r="D1082">
        <f>'Shipment Data for Provisioning'!E1087</f>
        <v>0</v>
      </c>
      <c r="E1082">
        <f>'Shipment Data for Provisioning'!F1087</f>
        <v>0</v>
      </c>
      <c r="F1082">
        <f>'Shipment Data for Provisioning'!G1087</f>
        <v>0</v>
      </c>
      <c r="G1082">
        <f>'Shipment Data for Provisioning'!H1087</f>
        <v>0</v>
      </c>
      <c r="H1082">
        <f>'Shipment Data for Provisioning'!I1087</f>
        <v>0</v>
      </c>
      <c r="I1082" t="e">
        <f>VLOOKUP(B1082,'Location Data'!$C$5:$G$1004,4,FALSE)</f>
        <v>#N/A</v>
      </c>
      <c r="J1082" t="e">
        <f>VLOOKUP(B1082,'Location Data'!$C$5:$G$1004,5,FALSE)</f>
        <v>#N/A</v>
      </c>
      <c r="K1082" t="e">
        <f>VLOOKUP(C1082,'Location Data'!$C$5:$G$1004,4,FALSE)</f>
        <v>#N/A</v>
      </c>
      <c r="L1082" t="e">
        <f>VLOOKUP(C1082,'Location Data'!$C$5:$G$1004,5,FALSE)</f>
        <v>#N/A</v>
      </c>
    </row>
    <row r="1083" spans="1:12" x14ac:dyDescent="0.2">
      <c r="A1083">
        <f>'Shipment Data for Provisioning'!B1088</f>
        <v>0</v>
      </c>
      <c r="B1083">
        <f>'Shipment Data for Provisioning'!C1088</f>
        <v>0</v>
      </c>
      <c r="C1083">
        <f>'Shipment Data for Provisioning'!D1088</f>
        <v>0</v>
      </c>
      <c r="D1083">
        <f>'Shipment Data for Provisioning'!E1088</f>
        <v>0</v>
      </c>
      <c r="E1083">
        <f>'Shipment Data for Provisioning'!F1088</f>
        <v>0</v>
      </c>
      <c r="F1083">
        <f>'Shipment Data for Provisioning'!G1088</f>
        <v>0</v>
      </c>
      <c r="G1083">
        <f>'Shipment Data for Provisioning'!H1088</f>
        <v>0</v>
      </c>
      <c r="H1083">
        <f>'Shipment Data for Provisioning'!I1088</f>
        <v>0</v>
      </c>
      <c r="I1083" t="e">
        <f>VLOOKUP(B1083,'Location Data'!$C$5:$G$1004,4,FALSE)</f>
        <v>#N/A</v>
      </c>
      <c r="J1083" t="e">
        <f>VLOOKUP(B1083,'Location Data'!$C$5:$G$1004,5,FALSE)</f>
        <v>#N/A</v>
      </c>
      <c r="K1083" t="e">
        <f>VLOOKUP(C1083,'Location Data'!$C$5:$G$1004,4,FALSE)</f>
        <v>#N/A</v>
      </c>
      <c r="L1083" t="e">
        <f>VLOOKUP(C1083,'Location Data'!$C$5:$G$1004,5,FALSE)</f>
        <v>#N/A</v>
      </c>
    </row>
    <row r="1084" spans="1:12" x14ac:dyDescent="0.2">
      <c r="A1084">
        <f>'Shipment Data for Provisioning'!B1089</f>
        <v>0</v>
      </c>
      <c r="B1084">
        <f>'Shipment Data for Provisioning'!C1089</f>
        <v>0</v>
      </c>
      <c r="C1084">
        <f>'Shipment Data for Provisioning'!D1089</f>
        <v>0</v>
      </c>
      <c r="D1084">
        <f>'Shipment Data for Provisioning'!E1089</f>
        <v>0</v>
      </c>
      <c r="E1084">
        <f>'Shipment Data for Provisioning'!F1089</f>
        <v>0</v>
      </c>
      <c r="F1084">
        <f>'Shipment Data for Provisioning'!G1089</f>
        <v>0</v>
      </c>
      <c r="G1084">
        <f>'Shipment Data for Provisioning'!H1089</f>
        <v>0</v>
      </c>
      <c r="H1084">
        <f>'Shipment Data for Provisioning'!I1089</f>
        <v>0</v>
      </c>
      <c r="I1084" t="e">
        <f>VLOOKUP(B1084,'Location Data'!$C$5:$G$1004,4,FALSE)</f>
        <v>#N/A</v>
      </c>
      <c r="J1084" t="e">
        <f>VLOOKUP(B1084,'Location Data'!$C$5:$G$1004,5,FALSE)</f>
        <v>#N/A</v>
      </c>
      <c r="K1084" t="e">
        <f>VLOOKUP(C1084,'Location Data'!$C$5:$G$1004,4,FALSE)</f>
        <v>#N/A</v>
      </c>
      <c r="L1084" t="e">
        <f>VLOOKUP(C1084,'Location Data'!$C$5:$G$1004,5,FALSE)</f>
        <v>#N/A</v>
      </c>
    </row>
    <row r="1085" spans="1:12" x14ac:dyDescent="0.2">
      <c r="A1085">
        <f>'Shipment Data for Provisioning'!B1090</f>
        <v>0</v>
      </c>
      <c r="B1085">
        <f>'Shipment Data for Provisioning'!C1090</f>
        <v>0</v>
      </c>
      <c r="C1085">
        <f>'Shipment Data for Provisioning'!D1090</f>
        <v>0</v>
      </c>
      <c r="D1085">
        <f>'Shipment Data for Provisioning'!E1090</f>
        <v>0</v>
      </c>
      <c r="E1085">
        <f>'Shipment Data for Provisioning'!F1090</f>
        <v>0</v>
      </c>
      <c r="F1085">
        <f>'Shipment Data for Provisioning'!G1090</f>
        <v>0</v>
      </c>
      <c r="G1085">
        <f>'Shipment Data for Provisioning'!H1090</f>
        <v>0</v>
      </c>
      <c r="H1085">
        <f>'Shipment Data for Provisioning'!I1090</f>
        <v>0</v>
      </c>
      <c r="I1085" t="e">
        <f>VLOOKUP(B1085,'Location Data'!$C$5:$G$1004,4,FALSE)</f>
        <v>#N/A</v>
      </c>
      <c r="J1085" t="e">
        <f>VLOOKUP(B1085,'Location Data'!$C$5:$G$1004,5,FALSE)</f>
        <v>#N/A</v>
      </c>
      <c r="K1085" t="e">
        <f>VLOOKUP(C1085,'Location Data'!$C$5:$G$1004,4,FALSE)</f>
        <v>#N/A</v>
      </c>
      <c r="L1085" t="e">
        <f>VLOOKUP(C1085,'Location Data'!$C$5:$G$1004,5,FALSE)</f>
        <v>#N/A</v>
      </c>
    </row>
    <row r="1086" spans="1:12" x14ac:dyDescent="0.2">
      <c r="A1086">
        <f>'Shipment Data for Provisioning'!B1091</f>
        <v>0</v>
      </c>
      <c r="B1086">
        <f>'Shipment Data for Provisioning'!C1091</f>
        <v>0</v>
      </c>
      <c r="C1086">
        <f>'Shipment Data for Provisioning'!D1091</f>
        <v>0</v>
      </c>
      <c r="D1086">
        <f>'Shipment Data for Provisioning'!E1091</f>
        <v>0</v>
      </c>
      <c r="E1086">
        <f>'Shipment Data for Provisioning'!F1091</f>
        <v>0</v>
      </c>
      <c r="F1086">
        <f>'Shipment Data for Provisioning'!G1091</f>
        <v>0</v>
      </c>
      <c r="G1086">
        <f>'Shipment Data for Provisioning'!H1091</f>
        <v>0</v>
      </c>
      <c r="H1086">
        <f>'Shipment Data for Provisioning'!I1091</f>
        <v>0</v>
      </c>
      <c r="I1086" t="e">
        <f>VLOOKUP(B1086,'Location Data'!$C$5:$G$1004,4,FALSE)</f>
        <v>#N/A</v>
      </c>
      <c r="J1086" t="e">
        <f>VLOOKUP(B1086,'Location Data'!$C$5:$G$1004,5,FALSE)</f>
        <v>#N/A</v>
      </c>
      <c r="K1086" t="e">
        <f>VLOOKUP(C1086,'Location Data'!$C$5:$G$1004,4,FALSE)</f>
        <v>#N/A</v>
      </c>
      <c r="L1086" t="e">
        <f>VLOOKUP(C1086,'Location Data'!$C$5:$G$1004,5,FALSE)</f>
        <v>#N/A</v>
      </c>
    </row>
    <row r="1087" spans="1:12" x14ac:dyDescent="0.2">
      <c r="A1087">
        <f>'Shipment Data for Provisioning'!B1092</f>
        <v>0</v>
      </c>
      <c r="B1087">
        <f>'Shipment Data for Provisioning'!C1092</f>
        <v>0</v>
      </c>
      <c r="C1087">
        <f>'Shipment Data for Provisioning'!D1092</f>
        <v>0</v>
      </c>
      <c r="D1087">
        <f>'Shipment Data for Provisioning'!E1092</f>
        <v>0</v>
      </c>
      <c r="E1087">
        <f>'Shipment Data for Provisioning'!F1092</f>
        <v>0</v>
      </c>
      <c r="F1087">
        <f>'Shipment Data for Provisioning'!G1092</f>
        <v>0</v>
      </c>
      <c r="G1087">
        <f>'Shipment Data for Provisioning'!H1092</f>
        <v>0</v>
      </c>
      <c r="H1087">
        <f>'Shipment Data for Provisioning'!I1092</f>
        <v>0</v>
      </c>
      <c r="I1087" t="e">
        <f>VLOOKUP(B1087,'Location Data'!$C$5:$G$1004,4,FALSE)</f>
        <v>#N/A</v>
      </c>
      <c r="J1087" t="e">
        <f>VLOOKUP(B1087,'Location Data'!$C$5:$G$1004,5,FALSE)</f>
        <v>#N/A</v>
      </c>
      <c r="K1087" t="e">
        <f>VLOOKUP(C1087,'Location Data'!$C$5:$G$1004,4,FALSE)</f>
        <v>#N/A</v>
      </c>
      <c r="L1087" t="e">
        <f>VLOOKUP(C1087,'Location Data'!$C$5:$G$1004,5,FALSE)</f>
        <v>#N/A</v>
      </c>
    </row>
    <row r="1088" spans="1:12" x14ac:dyDescent="0.2">
      <c r="A1088">
        <f>'Shipment Data for Provisioning'!B1093</f>
        <v>0</v>
      </c>
      <c r="B1088">
        <f>'Shipment Data for Provisioning'!C1093</f>
        <v>0</v>
      </c>
      <c r="C1088">
        <f>'Shipment Data for Provisioning'!D1093</f>
        <v>0</v>
      </c>
      <c r="D1088">
        <f>'Shipment Data for Provisioning'!E1093</f>
        <v>0</v>
      </c>
      <c r="E1088">
        <f>'Shipment Data for Provisioning'!F1093</f>
        <v>0</v>
      </c>
      <c r="F1088">
        <f>'Shipment Data for Provisioning'!G1093</f>
        <v>0</v>
      </c>
      <c r="G1088">
        <f>'Shipment Data for Provisioning'!H1093</f>
        <v>0</v>
      </c>
      <c r="H1088">
        <f>'Shipment Data for Provisioning'!I1093</f>
        <v>0</v>
      </c>
      <c r="I1088" t="e">
        <f>VLOOKUP(B1088,'Location Data'!$C$5:$G$1004,4,FALSE)</f>
        <v>#N/A</v>
      </c>
      <c r="J1088" t="e">
        <f>VLOOKUP(B1088,'Location Data'!$C$5:$G$1004,5,FALSE)</f>
        <v>#N/A</v>
      </c>
      <c r="K1088" t="e">
        <f>VLOOKUP(C1088,'Location Data'!$C$5:$G$1004,4,FALSE)</f>
        <v>#N/A</v>
      </c>
      <c r="L1088" t="e">
        <f>VLOOKUP(C1088,'Location Data'!$C$5:$G$1004,5,FALSE)</f>
        <v>#N/A</v>
      </c>
    </row>
    <row r="1089" spans="1:12" x14ac:dyDescent="0.2">
      <c r="A1089">
        <f>'Shipment Data for Provisioning'!B1094</f>
        <v>0</v>
      </c>
      <c r="B1089">
        <f>'Shipment Data for Provisioning'!C1094</f>
        <v>0</v>
      </c>
      <c r="C1089">
        <f>'Shipment Data for Provisioning'!D1094</f>
        <v>0</v>
      </c>
      <c r="D1089">
        <f>'Shipment Data for Provisioning'!E1094</f>
        <v>0</v>
      </c>
      <c r="E1089">
        <f>'Shipment Data for Provisioning'!F1094</f>
        <v>0</v>
      </c>
      <c r="F1089">
        <f>'Shipment Data for Provisioning'!G1094</f>
        <v>0</v>
      </c>
      <c r="G1089">
        <f>'Shipment Data for Provisioning'!H1094</f>
        <v>0</v>
      </c>
      <c r="H1089">
        <f>'Shipment Data for Provisioning'!I1094</f>
        <v>0</v>
      </c>
      <c r="I1089" t="e">
        <f>VLOOKUP(B1089,'Location Data'!$C$5:$G$1004,4,FALSE)</f>
        <v>#N/A</v>
      </c>
      <c r="J1089" t="e">
        <f>VLOOKUP(B1089,'Location Data'!$C$5:$G$1004,5,FALSE)</f>
        <v>#N/A</v>
      </c>
      <c r="K1089" t="e">
        <f>VLOOKUP(C1089,'Location Data'!$C$5:$G$1004,4,FALSE)</f>
        <v>#N/A</v>
      </c>
      <c r="L1089" t="e">
        <f>VLOOKUP(C1089,'Location Data'!$C$5:$G$1004,5,FALSE)</f>
        <v>#N/A</v>
      </c>
    </row>
    <row r="1090" spans="1:12" x14ac:dyDescent="0.2">
      <c r="A1090">
        <f>'Shipment Data for Provisioning'!B1095</f>
        <v>0</v>
      </c>
      <c r="B1090">
        <f>'Shipment Data for Provisioning'!C1095</f>
        <v>0</v>
      </c>
      <c r="C1090">
        <f>'Shipment Data for Provisioning'!D1095</f>
        <v>0</v>
      </c>
      <c r="D1090">
        <f>'Shipment Data for Provisioning'!E1095</f>
        <v>0</v>
      </c>
      <c r="E1090">
        <f>'Shipment Data for Provisioning'!F1095</f>
        <v>0</v>
      </c>
      <c r="F1090">
        <f>'Shipment Data for Provisioning'!G1095</f>
        <v>0</v>
      </c>
      <c r="G1090">
        <f>'Shipment Data for Provisioning'!H1095</f>
        <v>0</v>
      </c>
      <c r="H1090">
        <f>'Shipment Data for Provisioning'!I1095</f>
        <v>0</v>
      </c>
      <c r="I1090" t="e">
        <f>VLOOKUP(B1090,'Location Data'!$C$5:$G$1004,4,FALSE)</f>
        <v>#N/A</v>
      </c>
      <c r="J1090" t="e">
        <f>VLOOKUP(B1090,'Location Data'!$C$5:$G$1004,5,FALSE)</f>
        <v>#N/A</v>
      </c>
      <c r="K1090" t="e">
        <f>VLOOKUP(C1090,'Location Data'!$C$5:$G$1004,4,FALSE)</f>
        <v>#N/A</v>
      </c>
      <c r="L1090" t="e">
        <f>VLOOKUP(C1090,'Location Data'!$C$5:$G$1004,5,FALSE)</f>
        <v>#N/A</v>
      </c>
    </row>
    <row r="1091" spans="1:12" x14ac:dyDescent="0.2">
      <c r="A1091">
        <f>'Shipment Data for Provisioning'!B1096</f>
        <v>0</v>
      </c>
      <c r="B1091">
        <f>'Shipment Data for Provisioning'!C1096</f>
        <v>0</v>
      </c>
      <c r="C1091">
        <f>'Shipment Data for Provisioning'!D1096</f>
        <v>0</v>
      </c>
      <c r="D1091">
        <f>'Shipment Data for Provisioning'!E1096</f>
        <v>0</v>
      </c>
      <c r="E1091">
        <f>'Shipment Data for Provisioning'!F1096</f>
        <v>0</v>
      </c>
      <c r="F1091">
        <f>'Shipment Data for Provisioning'!G1096</f>
        <v>0</v>
      </c>
      <c r="G1091">
        <f>'Shipment Data for Provisioning'!H1096</f>
        <v>0</v>
      </c>
      <c r="H1091">
        <f>'Shipment Data for Provisioning'!I1096</f>
        <v>0</v>
      </c>
      <c r="I1091" t="e">
        <f>VLOOKUP(B1091,'Location Data'!$C$5:$G$1004,4,FALSE)</f>
        <v>#N/A</v>
      </c>
      <c r="J1091" t="e">
        <f>VLOOKUP(B1091,'Location Data'!$C$5:$G$1004,5,FALSE)</f>
        <v>#N/A</v>
      </c>
      <c r="K1091" t="e">
        <f>VLOOKUP(C1091,'Location Data'!$C$5:$G$1004,4,FALSE)</f>
        <v>#N/A</v>
      </c>
      <c r="L1091" t="e">
        <f>VLOOKUP(C1091,'Location Data'!$C$5:$G$1004,5,FALSE)</f>
        <v>#N/A</v>
      </c>
    </row>
    <row r="1092" spans="1:12" x14ac:dyDescent="0.2">
      <c r="A1092">
        <f>'Shipment Data for Provisioning'!B1097</f>
        <v>0</v>
      </c>
      <c r="B1092">
        <f>'Shipment Data for Provisioning'!C1097</f>
        <v>0</v>
      </c>
      <c r="C1092">
        <f>'Shipment Data for Provisioning'!D1097</f>
        <v>0</v>
      </c>
      <c r="D1092">
        <f>'Shipment Data for Provisioning'!E1097</f>
        <v>0</v>
      </c>
      <c r="E1092">
        <f>'Shipment Data for Provisioning'!F1097</f>
        <v>0</v>
      </c>
      <c r="F1092">
        <f>'Shipment Data for Provisioning'!G1097</f>
        <v>0</v>
      </c>
      <c r="G1092">
        <f>'Shipment Data for Provisioning'!H1097</f>
        <v>0</v>
      </c>
      <c r="H1092">
        <f>'Shipment Data for Provisioning'!I1097</f>
        <v>0</v>
      </c>
      <c r="I1092" t="e">
        <f>VLOOKUP(B1092,'Location Data'!$C$5:$G$1004,4,FALSE)</f>
        <v>#N/A</v>
      </c>
      <c r="J1092" t="e">
        <f>VLOOKUP(B1092,'Location Data'!$C$5:$G$1004,5,FALSE)</f>
        <v>#N/A</v>
      </c>
      <c r="K1092" t="e">
        <f>VLOOKUP(C1092,'Location Data'!$C$5:$G$1004,4,FALSE)</f>
        <v>#N/A</v>
      </c>
      <c r="L1092" t="e">
        <f>VLOOKUP(C1092,'Location Data'!$C$5:$G$1004,5,FALSE)</f>
        <v>#N/A</v>
      </c>
    </row>
    <row r="1093" spans="1:12" x14ac:dyDescent="0.2">
      <c r="A1093">
        <f>'Shipment Data for Provisioning'!B1098</f>
        <v>0</v>
      </c>
      <c r="B1093">
        <f>'Shipment Data for Provisioning'!C1098</f>
        <v>0</v>
      </c>
      <c r="C1093">
        <f>'Shipment Data for Provisioning'!D1098</f>
        <v>0</v>
      </c>
      <c r="D1093">
        <f>'Shipment Data for Provisioning'!E1098</f>
        <v>0</v>
      </c>
      <c r="E1093">
        <f>'Shipment Data for Provisioning'!F1098</f>
        <v>0</v>
      </c>
      <c r="F1093">
        <f>'Shipment Data for Provisioning'!G1098</f>
        <v>0</v>
      </c>
      <c r="G1093">
        <f>'Shipment Data for Provisioning'!H1098</f>
        <v>0</v>
      </c>
      <c r="H1093">
        <f>'Shipment Data for Provisioning'!I1098</f>
        <v>0</v>
      </c>
      <c r="I1093" t="e">
        <f>VLOOKUP(B1093,'Location Data'!$C$5:$G$1004,4,FALSE)</f>
        <v>#N/A</v>
      </c>
      <c r="J1093" t="e">
        <f>VLOOKUP(B1093,'Location Data'!$C$5:$G$1004,5,FALSE)</f>
        <v>#N/A</v>
      </c>
      <c r="K1093" t="e">
        <f>VLOOKUP(C1093,'Location Data'!$C$5:$G$1004,4,FALSE)</f>
        <v>#N/A</v>
      </c>
      <c r="L1093" t="e">
        <f>VLOOKUP(C1093,'Location Data'!$C$5:$G$1004,5,FALSE)</f>
        <v>#N/A</v>
      </c>
    </row>
    <row r="1094" spans="1:12" x14ac:dyDescent="0.2">
      <c r="A1094">
        <f>'Shipment Data for Provisioning'!B1099</f>
        <v>0</v>
      </c>
      <c r="B1094">
        <f>'Shipment Data for Provisioning'!C1099</f>
        <v>0</v>
      </c>
      <c r="C1094">
        <f>'Shipment Data for Provisioning'!D1099</f>
        <v>0</v>
      </c>
      <c r="D1094">
        <f>'Shipment Data for Provisioning'!E1099</f>
        <v>0</v>
      </c>
      <c r="E1094">
        <f>'Shipment Data for Provisioning'!F1099</f>
        <v>0</v>
      </c>
      <c r="F1094">
        <f>'Shipment Data for Provisioning'!G1099</f>
        <v>0</v>
      </c>
      <c r="G1094">
        <f>'Shipment Data for Provisioning'!H1099</f>
        <v>0</v>
      </c>
      <c r="H1094">
        <f>'Shipment Data for Provisioning'!I1099</f>
        <v>0</v>
      </c>
      <c r="I1094" t="e">
        <f>VLOOKUP(B1094,'Location Data'!$C$5:$G$1004,4,FALSE)</f>
        <v>#N/A</v>
      </c>
      <c r="J1094" t="e">
        <f>VLOOKUP(B1094,'Location Data'!$C$5:$G$1004,5,FALSE)</f>
        <v>#N/A</v>
      </c>
      <c r="K1094" t="e">
        <f>VLOOKUP(C1094,'Location Data'!$C$5:$G$1004,4,FALSE)</f>
        <v>#N/A</v>
      </c>
      <c r="L1094" t="e">
        <f>VLOOKUP(C1094,'Location Data'!$C$5:$G$1004,5,FALSE)</f>
        <v>#N/A</v>
      </c>
    </row>
    <row r="1095" spans="1:12" x14ac:dyDescent="0.2">
      <c r="A1095">
        <f>'Shipment Data for Provisioning'!B1100</f>
        <v>0</v>
      </c>
      <c r="B1095">
        <f>'Shipment Data for Provisioning'!C1100</f>
        <v>0</v>
      </c>
      <c r="C1095">
        <f>'Shipment Data for Provisioning'!D1100</f>
        <v>0</v>
      </c>
      <c r="D1095">
        <f>'Shipment Data for Provisioning'!E1100</f>
        <v>0</v>
      </c>
      <c r="E1095">
        <f>'Shipment Data for Provisioning'!F1100</f>
        <v>0</v>
      </c>
      <c r="F1095">
        <f>'Shipment Data for Provisioning'!G1100</f>
        <v>0</v>
      </c>
      <c r="G1095">
        <f>'Shipment Data for Provisioning'!H1100</f>
        <v>0</v>
      </c>
      <c r="H1095">
        <f>'Shipment Data for Provisioning'!I1100</f>
        <v>0</v>
      </c>
      <c r="I1095" t="e">
        <f>VLOOKUP(B1095,'Location Data'!$C$5:$G$1004,4,FALSE)</f>
        <v>#N/A</v>
      </c>
      <c r="J1095" t="e">
        <f>VLOOKUP(B1095,'Location Data'!$C$5:$G$1004,5,FALSE)</f>
        <v>#N/A</v>
      </c>
      <c r="K1095" t="e">
        <f>VLOOKUP(C1095,'Location Data'!$C$5:$G$1004,4,FALSE)</f>
        <v>#N/A</v>
      </c>
      <c r="L1095" t="e">
        <f>VLOOKUP(C1095,'Location Data'!$C$5:$G$1004,5,FALSE)</f>
        <v>#N/A</v>
      </c>
    </row>
    <row r="1096" spans="1:12" x14ac:dyDescent="0.2">
      <c r="A1096">
        <f>'Shipment Data for Provisioning'!B1101</f>
        <v>0</v>
      </c>
      <c r="B1096">
        <f>'Shipment Data for Provisioning'!C1101</f>
        <v>0</v>
      </c>
      <c r="C1096">
        <f>'Shipment Data for Provisioning'!D1101</f>
        <v>0</v>
      </c>
      <c r="D1096">
        <f>'Shipment Data for Provisioning'!E1101</f>
        <v>0</v>
      </c>
      <c r="E1096">
        <f>'Shipment Data for Provisioning'!F1101</f>
        <v>0</v>
      </c>
      <c r="F1096">
        <f>'Shipment Data for Provisioning'!G1101</f>
        <v>0</v>
      </c>
      <c r="G1096">
        <f>'Shipment Data for Provisioning'!H1101</f>
        <v>0</v>
      </c>
      <c r="H1096">
        <f>'Shipment Data for Provisioning'!I1101</f>
        <v>0</v>
      </c>
      <c r="I1096" t="e">
        <f>VLOOKUP(B1096,'Location Data'!$C$5:$G$1004,4,FALSE)</f>
        <v>#N/A</v>
      </c>
      <c r="J1096" t="e">
        <f>VLOOKUP(B1096,'Location Data'!$C$5:$G$1004,5,FALSE)</f>
        <v>#N/A</v>
      </c>
      <c r="K1096" t="e">
        <f>VLOOKUP(C1096,'Location Data'!$C$5:$G$1004,4,FALSE)</f>
        <v>#N/A</v>
      </c>
      <c r="L1096" t="e">
        <f>VLOOKUP(C1096,'Location Data'!$C$5:$G$1004,5,FALSE)</f>
        <v>#N/A</v>
      </c>
    </row>
    <row r="1097" spans="1:12" x14ac:dyDescent="0.2">
      <c r="A1097">
        <f>'Shipment Data for Provisioning'!B1102</f>
        <v>0</v>
      </c>
      <c r="B1097">
        <f>'Shipment Data for Provisioning'!C1102</f>
        <v>0</v>
      </c>
      <c r="C1097">
        <f>'Shipment Data for Provisioning'!D1102</f>
        <v>0</v>
      </c>
      <c r="D1097">
        <f>'Shipment Data for Provisioning'!E1102</f>
        <v>0</v>
      </c>
      <c r="E1097">
        <f>'Shipment Data for Provisioning'!F1102</f>
        <v>0</v>
      </c>
      <c r="F1097">
        <f>'Shipment Data for Provisioning'!G1102</f>
        <v>0</v>
      </c>
      <c r="G1097">
        <f>'Shipment Data for Provisioning'!H1102</f>
        <v>0</v>
      </c>
      <c r="H1097">
        <f>'Shipment Data for Provisioning'!I1102</f>
        <v>0</v>
      </c>
      <c r="I1097" t="e">
        <f>VLOOKUP(B1097,'Location Data'!$C$5:$G$1004,4,FALSE)</f>
        <v>#N/A</v>
      </c>
      <c r="J1097" t="e">
        <f>VLOOKUP(B1097,'Location Data'!$C$5:$G$1004,5,FALSE)</f>
        <v>#N/A</v>
      </c>
      <c r="K1097" t="e">
        <f>VLOOKUP(C1097,'Location Data'!$C$5:$G$1004,4,FALSE)</f>
        <v>#N/A</v>
      </c>
      <c r="L1097" t="e">
        <f>VLOOKUP(C1097,'Location Data'!$C$5:$G$1004,5,FALSE)</f>
        <v>#N/A</v>
      </c>
    </row>
    <row r="1098" spans="1:12" x14ac:dyDescent="0.2">
      <c r="A1098">
        <f>'Shipment Data for Provisioning'!B1103</f>
        <v>0</v>
      </c>
      <c r="B1098">
        <f>'Shipment Data for Provisioning'!C1103</f>
        <v>0</v>
      </c>
      <c r="C1098">
        <f>'Shipment Data for Provisioning'!D1103</f>
        <v>0</v>
      </c>
      <c r="D1098">
        <f>'Shipment Data for Provisioning'!E1103</f>
        <v>0</v>
      </c>
      <c r="E1098">
        <f>'Shipment Data for Provisioning'!F1103</f>
        <v>0</v>
      </c>
      <c r="F1098">
        <f>'Shipment Data for Provisioning'!G1103</f>
        <v>0</v>
      </c>
      <c r="G1098">
        <f>'Shipment Data for Provisioning'!H1103</f>
        <v>0</v>
      </c>
      <c r="H1098">
        <f>'Shipment Data for Provisioning'!I1103</f>
        <v>0</v>
      </c>
      <c r="I1098" t="e">
        <f>VLOOKUP(B1098,'Location Data'!$C$5:$G$1004,4,FALSE)</f>
        <v>#N/A</v>
      </c>
      <c r="J1098" t="e">
        <f>VLOOKUP(B1098,'Location Data'!$C$5:$G$1004,5,FALSE)</f>
        <v>#N/A</v>
      </c>
      <c r="K1098" t="e">
        <f>VLOOKUP(C1098,'Location Data'!$C$5:$G$1004,4,FALSE)</f>
        <v>#N/A</v>
      </c>
      <c r="L1098" t="e">
        <f>VLOOKUP(C1098,'Location Data'!$C$5:$G$1004,5,FALSE)</f>
        <v>#N/A</v>
      </c>
    </row>
    <row r="1099" spans="1:12" x14ac:dyDescent="0.2">
      <c r="A1099">
        <f>'Shipment Data for Provisioning'!B1104</f>
        <v>0</v>
      </c>
      <c r="B1099">
        <f>'Shipment Data for Provisioning'!C1104</f>
        <v>0</v>
      </c>
      <c r="C1099">
        <f>'Shipment Data for Provisioning'!D1104</f>
        <v>0</v>
      </c>
      <c r="D1099">
        <f>'Shipment Data for Provisioning'!E1104</f>
        <v>0</v>
      </c>
      <c r="E1099">
        <f>'Shipment Data for Provisioning'!F1104</f>
        <v>0</v>
      </c>
      <c r="F1099">
        <f>'Shipment Data for Provisioning'!G1104</f>
        <v>0</v>
      </c>
      <c r="G1099">
        <f>'Shipment Data for Provisioning'!H1104</f>
        <v>0</v>
      </c>
      <c r="H1099">
        <f>'Shipment Data for Provisioning'!I1104</f>
        <v>0</v>
      </c>
      <c r="I1099" t="e">
        <f>VLOOKUP(B1099,'Location Data'!$C$5:$G$1004,4,FALSE)</f>
        <v>#N/A</v>
      </c>
      <c r="J1099" t="e">
        <f>VLOOKUP(B1099,'Location Data'!$C$5:$G$1004,5,FALSE)</f>
        <v>#N/A</v>
      </c>
      <c r="K1099" t="e">
        <f>VLOOKUP(C1099,'Location Data'!$C$5:$G$1004,4,FALSE)</f>
        <v>#N/A</v>
      </c>
      <c r="L1099" t="e">
        <f>VLOOKUP(C1099,'Location Data'!$C$5:$G$1004,5,FALSE)</f>
        <v>#N/A</v>
      </c>
    </row>
    <row r="1100" spans="1:12" x14ac:dyDescent="0.2">
      <c r="A1100">
        <f>'Shipment Data for Provisioning'!B1105</f>
        <v>0</v>
      </c>
      <c r="B1100">
        <f>'Shipment Data for Provisioning'!C1105</f>
        <v>0</v>
      </c>
      <c r="C1100">
        <f>'Shipment Data for Provisioning'!D1105</f>
        <v>0</v>
      </c>
      <c r="D1100">
        <f>'Shipment Data for Provisioning'!E1105</f>
        <v>0</v>
      </c>
      <c r="E1100">
        <f>'Shipment Data for Provisioning'!F1105</f>
        <v>0</v>
      </c>
      <c r="F1100">
        <f>'Shipment Data for Provisioning'!G1105</f>
        <v>0</v>
      </c>
      <c r="G1100">
        <f>'Shipment Data for Provisioning'!H1105</f>
        <v>0</v>
      </c>
      <c r="H1100">
        <f>'Shipment Data for Provisioning'!I1105</f>
        <v>0</v>
      </c>
      <c r="I1100" t="e">
        <f>VLOOKUP(B1100,'Location Data'!$C$5:$G$1004,4,FALSE)</f>
        <v>#N/A</v>
      </c>
      <c r="J1100" t="e">
        <f>VLOOKUP(B1100,'Location Data'!$C$5:$G$1004,5,FALSE)</f>
        <v>#N/A</v>
      </c>
      <c r="K1100" t="e">
        <f>VLOOKUP(C1100,'Location Data'!$C$5:$G$1004,4,FALSE)</f>
        <v>#N/A</v>
      </c>
      <c r="L1100" t="e">
        <f>VLOOKUP(C1100,'Location Data'!$C$5:$G$1004,5,FALSE)</f>
        <v>#N/A</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467BB-3D91-4D4E-A71E-04D8778ED7DA}">
  <sheetPr codeName="Sheet13">
    <tabColor theme="2"/>
  </sheetPr>
  <dimension ref="A1:B50"/>
  <sheetViews>
    <sheetView workbookViewId="0">
      <selection activeCell="A40" sqref="A40"/>
    </sheetView>
  </sheetViews>
  <sheetFormatPr baseColWidth="10" defaultRowHeight="16" x14ac:dyDescent="0.2"/>
  <cols>
    <col min="1" max="1" width="17.5" style="64" bestFit="1" customWidth="1"/>
    <col min="2" max="16384" width="10.83203125" style="64"/>
  </cols>
  <sheetData>
    <row r="1" spans="1:2" x14ac:dyDescent="0.2">
      <c r="A1" s="64" t="s">
        <v>176</v>
      </c>
      <c r="B1" s="64" t="s">
        <v>177</v>
      </c>
    </row>
    <row r="2" spans="1:2" x14ac:dyDescent="0.2">
      <c r="A2" s="64" t="s">
        <v>173</v>
      </c>
      <c r="B2" s="64" t="s">
        <v>179</v>
      </c>
    </row>
    <row r="3" spans="1:2" x14ac:dyDescent="0.2">
      <c r="A3" s="64" t="s">
        <v>173</v>
      </c>
      <c r="B3" s="64" t="s">
        <v>162</v>
      </c>
    </row>
    <row r="4" spans="1:2" x14ac:dyDescent="0.2">
      <c r="A4" s="64" t="s">
        <v>173</v>
      </c>
      <c r="B4" s="64" t="s">
        <v>159</v>
      </c>
    </row>
    <row r="5" spans="1:2" x14ac:dyDescent="0.2">
      <c r="A5" s="64" t="s">
        <v>173</v>
      </c>
      <c r="B5" s="64" t="s">
        <v>156</v>
      </c>
    </row>
    <row r="6" spans="1:2" x14ac:dyDescent="0.2">
      <c r="A6" s="64" t="s">
        <v>173</v>
      </c>
      <c r="B6" s="64" t="s">
        <v>151</v>
      </c>
    </row>
    <row r="7" spans="1:2" x14ac:dyDescent="0.2">
      <c r="A7" s="64" t="s">
        <v>173</v>
      </c>
      <c r="B7" s="64" t="s">
        <v>152</v>
      </c>
    </row>
    <row r="8" spans="1:2" x14ac:dyDescent="0.2">
      <c r="A8" s="64" t="s">
        <v>173</v>
      </c>
      <c r="B8" s="64" t="s">
        <v>146</v>
      </c>
    </row>
    <row r="9" spans="1:2" x14ac:dyDescent="0.2">
      <c r="A9" s="64" t="s">
        <v>173</v>
      </c>
      <c r="B9" s="64" t="s">
        <v>145</v>
      </c>
    </row>
    <row r="10" spans="1:2" x14ac:dyDescent="0.2">
      <c r="A10" s="64" t="s">
        <v>173</v>
      </c>
      <c r="B10" s="64" t="s">
        <v>154</v>
      </c>
    </row>
    <row r="11" spans="1:2" x14ac:dyDescent="0.2">
      <c r="A11" s="64" t="s">
        <v>173</v>
      </c>
      <c r="B11" s="64" t="s">
        <v>150</v>
      </c>
    </row>
    <row r="12" spans="1:2" x14ac:dyDescent="0.2">
      <c r="A12" s="64" t="s">
        <v>173</v>
      </c>
      <c r="B12" s="64" t="s">
        <v>171</v>
      </c>
    </row>
    <row r="13" spans="1:2" x14ac:dyDescent="0.2">
      <c r="A13" s="64" t="s">
        <v>173</v>
      </c>
      <c r="B13" s="64" t="s">
        <v>172</v>
      </c>
    </row>
    <row r="14" spans="1:2" x14ac:dyDescent="0.2">
      <c r="A14" s="64" t="s">
        <v>173</v>
      </c>
      <c r="B14" s="64" t="s">
        <v>105</v>
      </c>
    </row>
    <row r="15" spans="1:2" x14ac:dyDescent="0.2">
      <c r="A15" s="64" t="s">
        <v>173</v>
      </c>
      <c r="B15" s="64" t="s">
        <v>157</v>
      </c>
    </row>
    <row r="16" spans="1:2" x14ac:dyDescent="0.2">
      <c r="A16" s="64" t="s">
        <v>173</v>
      </c>
      <c r="B16" s="64" t="s">
        <v>158</v>
      </c>
    </row>
    <row r="17" spans="1:2" x14ac:dyDescent="0.2">
      <c r="A17" s="64" t="s">
        <v>173</v>
      </c>
      <c r="B17" s="64" t="s">
        <v>155</v>
      </c>
    </row>
    <row r="18" spans="1:2" x14ac:dyDescent="0.2">
      <c r="A18" s="64" t="s">
        <v>173</v>
      </c>
      <c r="B18" s="64" t="s">
        <v>160</v>
      </c>
    </row>
    <row r="19" spans="1:2" x14ac:dyDescent="0.2">
      <c r="A19" s="64" t="s">
        <v>173</v>
      </c>
      <c r="B19" s="64" t="s">
        <v>165</v>
      </c>
    </row>
    <row r="20" spans="1:2" x14ac:dyDescent="0.2">
      <c r="A20" s="64" t="s">
        <v>173</v>
      </c>
      <c r="B20" s="64" t="s">
        <v>166</v>
      </c>
    </row>
    <row r="21" spans="1:2" x14ac:dyDescent="0.2">
      <c r="A21" s="64" t="s">
        <v>173</v>
      </c>
      <c r="B21" s="64" t="s">
        <v>170</v>
      </c>
    </row>
    <row r="22" spans="1:2" x14ac:dyDescent="0.2">
      <c r="A22" s="64" t="s">
        <v>173</v>
      </c>
      <c r="B22" s="64" t="s">
        <v>148</v>
      </c>
    </row>
    <row r="23" spans="1:2" x14ac:dyDescent="0.2">
      <c r="A23" s="64" t="s">
        <v>173</v>
      </c>
      <c r="B23" s="64" t="s">
        <v>167</v>
      </c>
    </row>
    <row r="24" spans="1:2" x14ac:dyDescent="0.2">
      <c r="A24" s="64" t="s">
        <v>173</v>
      </c>
      <c r="B24" s="64" t="s">
        <v>163</v>
      </c>
    </row>
    <row r="25" spans="1:2" x14ac:dyDescent="0.2">
      <c r="A25" s="64" t="s">
        <v>173</v>
      </c>
      <c r="B25" s="64" t="s">
        <v>164</v>
      </c>
    </row>
    <row r="26" spans="1:2" x14ac:dyDescent="0.2">
      <c r="A26" s="64" t="s">
        <v>173</v>
      </c>
      <c r="B26" s="64" t="s">
        <v>147</v>
      </c>
    </row>
    <row r="27" spans="1:2" x14ac:dyDescent="0.2">
      <c r="A27" s="64" t="s">
        <v>173</v>
      </c>
      <c r="B27" s="64" t="s">
        <v>161</v>
      </c>
    </row>
    <row r="28" spans="1:2" x14ac:dyDescent="0.2">
      <c r="A28" s="64" t="s">
        <v>173</v>
      </c>
      <c r="B28" s="64" t="s">
        <v>149</v>
      </c>
    </row>
    <row r="29" spans="1:2" x14ac:dyDescent="0.2">
      <c r="A29" s="64" t="s">
        <v>173</v>
      </c>
      <c r="B29" s="64" t="s">
        <v>168</v>
      </c>
    </row>
    <row r="30" spans="1:2" x14ac:dyDescent="0.2">
      <c r="A30" s="64" t="s">
        <v>173</v>
      </c>
      <c r="B30" s="64" t="s">
        <v>169</v>
      </c>
    </row>
    <row r="31" spans="1:2" x14ac:dyDescent="0.2">
      <c r="A31" s="64" t="s">
        <v>173</v>
      </c>
      <c r="B31" s="64" t="s">
        <v>144</v>
      </c>
    </row>
    <row r="32" spans="1:2" x14ac:dyDescent="0.2">
      <c r="A32" s="64" t="s">
        <v>173</v>
      </c>
      <c r="B32" s="64" t="s">
        <v>153</v>
      </c>
    </row>
    <row r="33" spans="1:2" x14ac:dyDescent="0.2">
      <c r="A33" s="64" t="s">
        <v>174</v>
      </c>
      <c r="B33" s="64" t="s">
        <v>179</v>
      </c>
    </row>
    <row r="34" spans="1:2" x14ac:dyDescent="0.2">
      <c r="A34" s="64" t="s">
        <v>174</v>
      </c>
      <c r="B34" s="64" t="s">
        <v>129</v>
      </c>
    </row>
    <row r="35" spans="1:2" x14ac:dyDescent="0.2">
      <c r="A35" s="64" t="s">
        <v>174</v>
      </c>
      <c r="B35" s="64" t="s">
        <v>137</v>
      </c>
    </row>
    <row r="36" spans="1:2" x14ac:dyDescent="0.2">
      <c r="A36" s="64" t="s">
        <v>174</v>
      </c>
      <c r="B36" s="64" t="s">
        <v>135</v>
      </c>
    </row>
    <row r="37" spans="1:2" x14ac:dyDescent="0.2">
      <c r="A37" s="64" t="s">
        <v>174</v>
      </c>
      <c r="B37" s="64" t="s">
        <v>132</v>
      </c>
    </row>
    <row r="38" spans="1:2" x14ac:dyDescent="0.2">
      <c r="A38" s="64" t="s">
        <v>174</v>
      </c>
      <c r="B38" s="64" t="s">
        <v>136</v>
      </c>
    </row>
    <row r="39" spans="1:2" x14ac:dyDescent="0.2">
      <c r="A39" s="64" t="s">
        <v>174</v>
      </c>
      <c r="B39" s="64" t="s">
        <v>139</v>
      </c>
    </row>
    <row r="40" spans="1:2" x14ac:dyDescent="0.2">
      <c r="A40" s="64" t="s">
        <v>174</v>
      </c>
      <c r="B40" s="64" t="s">
        <v>194</v>
      </c>
    </row>
    <row r="41" spans="1:2" x14ac:dyDescent="0.2">
      <c r="A41" s="64" t="s">
        <v>174</v>
      </c>
      <c r="B41" s="64" t="s">
        <v>143</v>
      </c>
    </row>
    <row r="42" spans="1:2" x14ac:dyDescent="0.2">
      <c r="A42" s="64" t="s">
        <v>174</v>
      </c>
      <c r="B42" s="64" t="s">
        <v>130</v>
      </c>
    </row>
    <row r="43" spans="1:2" x14ac:dyDescent="0.2">
      <c r="A43" s="64" t="s">
        <v>174</v>
      </c>
      <c r="B43" s="64" t="s">
        <v>141</v>
      </c>
    </row>
    <row r="44" spans="1:2" x14ac:dyDescent="0.2">
      <c r="A44" s="64" t="s">
        <v>174</v>
      </c>
      <c r="B44" s="64" t="s">
        <v>142</v>
      </c>
    </row>
    <row r="45" spans="1:2" x14ac:dyDescent="0.2">
      <c r="A45" s="64" t="s">
        <v>174</v>
      </c>
      <c r="B45" s="64" t="s">
        <v>133</v>
      </c>
    </row>
    <row r="46" spans="1:2" x14ac:dyDescent="0.2">
      <c r="A46" s="64" t="s">
        <v>174</v>
      </c>
      <c r="B46" s="64" t="s">
        <v>134</v>
      </c>
    </row>
    <row r="47" spans="1:2" x14ac:dyDescent="0.2">
      <c r="A47" s="64" t="s">
        <v>174</v>
      </c>
      <c r="B47" s="64" t="s">
        <v>138</v>
      </c>
    </row>
    <row r="48" spans="1:2" x14ac:dyDescent="0.2">
      <c r="A48" s="64" t="s">
        <v>174</v>
      </c>
      <c r="B48" s="64" t="s">
        <v>140</v>
      </c>
    </row>
    <row r="49" spans="1:2" x14ac:dyDescent="0.2">
      <c r="A49" s="64" t="s">
        <v>174</v>
      </c>
      <c r="B49" s="64" t="s">
        <v>193</v>
      </c>
    </row>
    <row r="50" spans="1:2" x14ac:dyDescent="0.2">
      <c r="A50" s="64" t="s">
        <v>174</v>
      </c>
      <c r="B50" s="64" t="s">
        <v>131</v>
      </c>
    </row>
  </sheetData>
  <autoFilter ref="A1:B50" xr:uid="{FA6467BB-3D91-4D4E-A71E-04D8778ED7DA}">
    <sortState xmlns:xlrd2="http://schemas.microsoft.com/office/spreadsheetml/2017/richdata2" ref="A2:B50">
      <sortCondition descending="1" ref="A1:A50"/>
    </sortState>
  </autoFilter>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159ACA2-F668-D64F-9F15-79C34D42CF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Description</vt:lpstr>
      <vt:lpstr>Emissions Calculator</vt:lpstr>
      <vt:lpstr>Container Data</vt:lpstr>
      <vt:lpstr>Shipment Data for Provisioning</vt:lpstr>
      <vt:lpstr>Location Data</vt:lpstr>
      <vt:lpstr>Preconditioning Data</vt:lpstr>
      <vt:lpstr>Script Output Emissions Data</vt:lpstr>
      <vt:lpstr>Filtered Input Data</vt:lpstr>
      <vt:lpstr>Script input transpo data</vt:lpstr>
      <vt:lpstr>Script input new shipment data</vt:lpstr>
      <vt:lpstr>Script input provisioning data</vt:lpstr>
      <vt:lpstr>Airplane models by type</vt:lpstr>
      <vt:lpstr>Airport</vt:lpstr>
      <vt:lpstr>Customer</vt:lpstr>
      <vt:lpstr>ServiceCenter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Jonas Lehmann</dc:creator>
  <cp:lastModifiedBy>Jonas Lehmann</cp:lastModifiedBy>
  <dcterms:created xsi:type="dcterms:W3CDTF">2022-12-21T12:21:50Z</dcterms:created>
  <dcterms:modified xsi:type="dcterms:W3CDTF">2023-06-12T13:46:25Z</dcterms:modified>
</cp:coreProperties>
</file>